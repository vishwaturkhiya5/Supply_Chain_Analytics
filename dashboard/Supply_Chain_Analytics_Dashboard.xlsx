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shwa\Downloads\"/>
    </mc:Choice>
  </mc:AlternateContent>
  <xr:revisionPtr revIDLastSave="0" documentId="13_ncr:1_{EA170BB1-A3CE-498A-B1D7-FA1E6820C9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Monthly Trends" sheetId="2" r:id="rId2"/>
    <sheet name="Customer &amp; Region" sheetId="3" r:id="rId3"/>
    <sheet name="Shipping" sheetId="4" r:id="rId4"/>
    <sheet name="Products" sheetId="5" r:id="rId5"/>
    <sheet name="Metrics Validation" sheetId="6" r:id="rId6"/>
    <sheet name="Data Quality" sheetId="7" r:id="rId7"/>
    <sheet name="Dashboard Data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8" i="8" l="1"/>
  <c r="U38" i="8"/>
  <c r="T38" i="8"/>
  <c r="S38" i="8"/>
  <c r="R38" i="8"/>
  <c r="V37" i="8"/>
  <c r="U37" i="8"/>
  <c r="T37" i="8"/>
  <c r="S37" i="8"/>
  <c r="R37" i="8"/>
  <c r="V36" i="8"/>
  <c r="U36" i="8"/>
  <c r="T36" i="8"/>
  <c r="S36" i="8"/>
  <c r="R36" i="8"/>
  <c r="V35" i="8"/>
  <c r="U35" i="8"/>
  <c r="T35" i="8"/>
  <c r="S35" i="8"/>
  <c r="R35" i="8"/>
  <c r="V34" i="8"/>
  <c r="U34" i="8"/>
  <c r="T34" i="8"/>
  <c r="S34" i="8"/>
  <c r="R34" i="8"/>
  <c r="V33" i="8"/>
  <c r="U33" i="8"/>
  <c r="T33" i="8"/>
  <c r="S33" i="8"/>
  <c r="R33" i="8"/>
  <c r="V32" i="8"/>
  <c r="U32" i="8"/>
  <c r="T32" i="8"/>
  <c r="S32" i="8"/>
  <c r="R32" i="8"/>
  <c r="V31" i="8"/>
  <c r="U31" i="8"/>
  <c r="T31" i="8"/>
  <c r="S31" i="8"/>
  <c r="R31" i="8"/>
  <c r="V30" i="8"/>
  <c r="U30" i="8"/>
  <c r="T30" i="8"/>
  <c r="S30" i="8"/>
  <c r="R30" i="8"/>
  <c r="V29" i="8"/>
  <c r="U29" i="8"/>
  <c r="T29" i="8"/>
  <c r="S29" i="8"/>
  <c r="R29" i="8"/>
  <c r="V28" i="8"/>
  <c r="U28" i="8"/>
  <c r="T28" i="8"/>
  <c r="S28" i="8"/>
  <c r="R28" i="8"/>
  <c r="V27" i="8"/>
  <c r="U27" i="8"/>
  <c r="T27" i="8"/>
  <c r="S27" i="8"/>
  <c r="R27" i="8"/>
  <c r="V26" i="8"/>
  <c r="U26" i="8"/>
  <c r="T26" i="8"/>
  <c r="S26" i="8"/>
  <c r="R26" i="8"/>
  <c r="V25" i="8"/>
  <c r="U25" i="8"/>
  <c r="T25" i="8"/>
  <c r="S25" i="8"/>
  <c r="R25" i="8"/>
  <c r="V24" i="8"/>
  <c r="U24" i="8"/>
  <c r="T24" i="8"/>
  <c r="S24" i="8"/>
  <c r="R24" i="8"/>
  <c r="V23" i="8"/>
  <c r="U23" i="8"/>
  <c r="T23" i="8"/>
  <c r="S23" i="8"/>
  <c r="R23" i="8"/>
  <c r="V22" i="8"/>
  <c r="U22" i="8"/>
  <c r="T22" i="8"/>
  <c r="S22" i="8"/>
  <c r="R22" i="8"/>
  <c r="V21" i="8"/>
  <c r="U21" i="8"/>
  <c r="T21" i="8"/>
  <c r="S21" i="8"/>
  <c r="R21" i="8"/>
  <c r="V20" i="8"/>
  <c r="U20" i="8"/>
  <c r="T20" i="8"/>
  <c r="S20" i="8"/>
  <c r="R20" i="8"/>
  <c r="V19" i="8"/>
  <c r="U19" i="8"/>
  <c r="T19" i="8"/>
  <c r="S19" i="8"/>
  <c r="R19" i="8"/>
  <c r="V18" i="8"/>
  <c r="U18" i="8"/>
  <c r="T18" i="8"/>
  <c r="S18" i="8"/>
  <c r="R18" i="8"/>
  <c r="V17" i="8"/>
  <c r="U17" i="8"/>
  <c r="T17" i="8"/>
  <c r="S17" i="8"/>
  <c r="R17" i="8"/>
  <c r="V16" i="8"/>
  <c r="U16" i="8"/>
  <c r="T16" i="8"/>
  <c r="S16" i="8"/>
  <c r="R16" i="8"/>
  <c r="V15" i="8"/>
  <c r="U15" i="8"/>
  <c r="T15" i="8"/>
  <c r="S15" i="8"/>
  <c r="R15" i="8"/>
  <c r="V14" i="8"/>
  <c r="U14" i="8"/>
  <c r="T14" i="8"/>
  <c r="S14" i="8"/>
  <c r="R14" i="8"/>
  <c r="V13" i="8"/>
  <c r="U13" i="8"/>
  <c r="T13" i="8"/>
  <c r="S13" i="8"/>
  <c r="R13" i="8"/>
  <c r="V12" i="8"/>
  <c r="U12" i="8"/>
  <c r="T12" i="8"/>
  <c r="S12" i="8"/>
  <c r="R12" i="8"/>
  <c r="V11" i="8"/>
  <c r="U11" i="8"/>
  <c r="T11" i="8"/>
  <c r="S11" i="8"/>
  <c r="R11" i="8"/>
  <c r="V10" i="8"/>
  <c r="U10" i="8"/>
  <c r="T10" i="8"/>
  <c r="S10" i="8"/>
  <c r="R10" i="8"/>
  <c r="V9" i="8"/>
  <c r="U9" i="8"/>
  <c r="T9" i="8"/>
  <c r="S9" i="8"/>
  <c r="R9" i="8"/>
  <c r="V8" i="8"/>
  <c r="U8" i="8"/>
  <c r="T8" i="8"/>
  <c r="S8" i="8"/>
  <c r="R8" i="8"/>
  <c r="V7" i="8"/>
  <c r="U7" i="8"/>
  <c r="T7" i="8"/>
  <c r="S7" i="8"/>
  <c r="R7" i="8"/>
  <c r="V6" i="8"/>
  <c r="U6" i="8"/>
  <c r="T6" i="8"/>
  <c r="S6" i="8"/>
  <c r="R6" i="8"/>
  <c r="V5" i="8"/>
  <c r="U5" i="8"/>
  <c r="T5" i="8"/>
  <c r="S5" i="8"/>
  <c r="R5" i="8"/>
  <c r="V4" i="8"/>
  <c r="U4" i="8"/>
  <c r="T4" i="8"/>
  <c r="S4" i="8"/>
  <c r="R4" i="8"/>
  <c r="V3" i="8"/>
  <c r="U3" i="8"/>
  <c r="T3" i="8"/>
  <c r="S3" i="8"/>
  <c r="R3" i="8"/>
  <c r="V2" i="8"/>
  <c r="U2" i="8"/>
  <c r="T2" i="8"/>
  <c r="S2" i="8"/>
  <c r="R2" i="8"/>
  <c r="K7" i="1"/>
  <c r="I7" i="1"/>
  <c r="G7" i="1"/>
  <c r="E7" i="1"/>
  <c r="C7" i="1"/>
  <c r="A7" i="1"/>
</calcChain>
</file>

<file path=xl/sharedStrings.xml><?xml version="1.0" encoding="utf-8"?>
<sst xmlns="http://schemas.openxmlformats.org/spreadsheetml/2006/main" count="1811" uniqueCount="368">
  <si>
    <t>Supply Chain Analytics Dashboard</t>
  </si>
  <si>
    <t>Market</t>
  </si>
  <si>
    <t>All</t>
  </si>
  <si>
    <t>Customer segment</t>
  </si>
  <si>
    <t>Total Records</t>
  </si>
  <si>
    <t>Total Orders</t>
  </si>
  <si>
    <t>Gross Sales</t>
  </si>
  <si>
    <t>Total Profit</t>
  </si>
  <si>
    <t>Gross AOV</t>
  </si>
  <si>
    <t>Late Delivery %</t>
  </si>
  <si>
    <t>Key findings and recommended actions</t>
  </si>
  <si>
    <t>First Class is late on 95.27% of orders; reset the 1-day promise or improve carrier execution.</t>
  </si>
  <si>
    <t>The top 10 products generate 89.98% of gross sales; protect availability and supplier continuity for these SKUs.</t>
  </si>
  <si>
    <t>21.15% of orders are loss-making; review discount and product-level margin rules.</t>
  </si>
  <si>
    <t>Customer segment late rates vary by only 0.35 percentage points; prioritize shipping mode and carrier fixes over segment-specific policies.</t>
  </si>
  <si>
    <t>Monthly and Yearly Performance</t>
  </si>
  <si>
    <t>Gross sales are before discounts; profit is based on net sales</t>
  </si>
  <si>
    <t>order_year_month</t>
  </si>
  <si>
    <t>records</t>
  </si>
  <si>
    <t>orders</t>
  </si>
  <si>
    <t>units</t>
  </si>
  <si>
    <t>gross_sales</t>
  </si>
  <si>
    <t>net_sales</t>
  </si>
  <si>
    <t>profit</t>
  </si>
  <si>
    <t>gross_aov</t>
  </si>
  <si>
    <t>profit_margin_net</t>
  </si>
  <si>
    <t>late_delivery_rate_row</t>
  </si>
  <si>
    <t>gross_sales_yoy</t>
  </si>
  <si>
    <t>profit_yoy</t>
  </si>
  <si>
    <t>Yearly summary</t>
  </si>
  <si>
    <t>2015-01</t>
  </si>
  <si>
    <t>order_year</t>
  </si>
  <si>
    <t>period_note</t>
  </si>
  <si>
    <t>2015-02</t>
  </si>
  <si>
    <t>Full year</t>
  </si>
  <si>
    <t>2015-03</t>
  </si>
  <si>
    <t>2015-04</t>
  </si>
  <si>
    <t>2015-05</t>
  </si>
  <si>
    <t>January only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</si>
  <si>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</si>
  <si>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</si>
  <si>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</si>
  <si>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</si>
  <si>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</si>
  <si>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</si>
  <si>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</si>
  <si>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</si>
  <si>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</si>
  <si>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</si>
  <si>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</si>
  <si>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</si>
  <si>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</si>
  <si>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</si>
  <si>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</si>
  <si>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</si>
  <si>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</si>
  <si>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</si>
  <si>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</si>
  <si>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</si>
  <si>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</si>
  <si>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</si>
  <si>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</si>
  <si>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</si>
  <si>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</si>
  <si>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</si>
  <si>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</si>
  <si>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</si>
  <si>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</si>
  <si>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</si>
  <si>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</si>
  <si>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</si>
  <si>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Customer and Regional Performance</t>
  </si>
  <si>
    <t>Refreshable summary tables generated from the processed line-item dataset</t>
  </si>
  <si>
    <t>Customer segments</t>
  </si>
  <si>
    <t>customer_segment</t>
  </si>
  <si>
    <t>discount</t>
  </si>
  <si>
    <t>net_aov</t>
  </si>
  <si>
    <t>Consumer</t>
  </si>
  <si>
    <t>Corporate</t>
  </si>
  <si>
    <t>Home Office</t>
  </si>
  <si>
    <t>Markets</t>
  </si>
  <si>
    <t>market</t>
  </si>
  <si>
    <t>Africa</t>
  </si>
  <si>
    <t>Europe</t>
  </si>
  <si>
    <t>LATAM</t>
  </si>
  <si>
    <t>Pacific Asia</t>
  </si>
  <si>
    <t>USCA</t>
  </si>
  <si>
    <t>Order regions</t>
  </si>
  <si>
    <t>order_region</t>
  </si>
  <si>
    <t>Western Europe</t>
  </si>
  <si>
    <t>Central America</t>
  </si>
  <si>
    <t>South America</t>
  </si>
  <si>
    <t>Northern Europe</t>
  </si>
  <si>
    <t>Southern Europe</t>
  </si>
  <si>
    <t>Oceania</t>
  </si>
  <si>
    <t>Southeast Asia</t>
  </si>
  <si>
    <t>Caribbean</t>
  </si>
  <si>
    <t>West of USA</t>
  </si>
  <si>
    <t>South Asia</t>
  </si>
  <si>
    <t>Eastern Asia</t>
  </si>
  <si>
    <t>East of USA</t>
  </si>
  <si>
    <t>West Asia</t>
  </si>
  <si>
    <t>US Center</t>
  </si>
  <si>
    <t>South of  USA</t>
  </si>
  <si>
    <t>Eastern Europe</t>
  </si>
  <si>
    <t>West Africa</t>
  </si>
  <si>
    <t>North Africa</t>
  </si>
  <si>
    <t>East Africa</t>
  </si>
  <si>
    <t>Central Africa</t>
  </si>
  <si>
    <t>Southern Africa</t>
  </si>
  <si>
    <t>Canada</t>
  </si>
  <si>
    <t>Central Asia</t>
  </si>
  <si>
    <t>Shipping and Delivery Performance</t>
  </si>
  <si>
    <t>Order-grain shipping metrics avoid line-count weighting</t>
  </si>
  <si>
    <t>Shipping modes</t>
  </si>
  <si>
    <t>shipping_mode</t>
  </si>
  <si>
    <t>late_orders</t>
  </si>
  <si>
    <t>avg_actual_shipping_days</t>
  </si>
  <si>
    <t>avg_scheduled_shipping_days</t>
  </si>
  <si>
    <t>avg_shipping_variance_days</t>
  </si>
  <si>
    <t>late_delivery_rate_order</t>
  </si>
  <si>
    <t>First Class</t>
  </si>
  <si>
    <t>Second Class</t>
  </si>
  <si>
    <t>Same Day</t>
  </si>
  <si>
    <t>Standard Class</t>
  </si>
  <si>
    <t>Delivery status</t>
  </si>
  <si>
    <t>delivery_status</t>
  </si>
  <si>
    <t>Advance shipping</t>
  </si>
  <si>
    <t>Late delivery</t>
  </si>
  <si>
    <t>Shipping canceled</t>
  </si>
  <si>
    <t>Shipping on time</t>
  </si>
  <si>
    <t>Product and Category Performance</t>
  </si>
  <si>
    <t>Rankings use gross sales; profitability uses net sales as the denominator</t>
  </si>
  <si>
    <t>Top 15 products by gross sales</t>
  </si>
  <si>
    <t>Bottom 10 products by profit</t>
  </si>
  <si>
    <t>product_id</t>
  </si>
  <si>
    <t>product_name</t>
  </si>
  <si>
    <t>category_name</t>
  </si>
  <si>
    <t>Field &amp; Stream Sportsman 16 Gun Fire Safe</t>
  </si>
  <si>
    <t>Fishing</t>
  </si>
  <si>
    <t>SOLE E35 Elliptical</t>
  </si>
  <si>
    <t>Strength Training</t>
  </si>
  <si>
    <t>Perfect Fitness Perfect Rip Deck</t>
  </si>
  <si>
    <t>Cleats</t>
  </si>
  <si>
    <t>Bushnell Pro X7 Jolt Slope Rangefinder</t>
  </si>
  <si>
    <t>Kids' Golf Clubs</t>
  </si>
  <si>
    <t>Diamondback Women's Serene Classic Comfort Bi</t>
  </si>
  <si>
    <t>Camping &amp; Hiking</t>
  </si>
  <si>
    <t>SOLE E25 Elliptical</t>
  </si>
  <si>
    <t>Basketball</t>
  </si>
  <si>
    <t>Nike Men's Free 5.0+ Running Shoe</t>
  </si>
  <si>
    <t>Cardio Equipment</t>
  </si>
  <si>
    <t>GoPro HERO3+ Black Edition Camera</t>
  </si>
  <si>
    <t>Nike Men's Dri-FIT Victory Golf Polo</t>
  </si>
  <si>
    <t>Women's Apparel</t>
  </si>
  <si>
    <t>Diamondback Girls' Clarity 24 Hybrid Bike 201</t>
  </si>
  <si>
    <t>Pelican Sunstream 100 Kayak</t>
  </si>
  <si>
    <t>Water Sports</t>
  </si>
  <si>
    <t>Polar Loop Activity Tracker</t>
  </si>
  <si>
    <t>Nike Men's CJ Elite 2 TD Football Cleat</t>
  </si>
  <si>
    <t>Men's Footwear</t>
  </si>
  <si>
    <t>Cleveland Golf Women's 588 RTX CB Satin Chrom</t>
  </si>
  <si>
    <t>Golf Apparel</t>
  </si>
  <si>
    <t>O'Brien Men's Neoprene Life Vest</t>
  </si>
  <si>
    <t>Indoor/Outdoor Games</t>
  </si>
  <si>
    <t>CDs of rock</t>
  </si>
  <si>
    <t>CDs</t>
  </si>
  <si>
    <t>Under Armour Girls' Toddler Spine Surge Runni</t>
  </si>
  <si>
    <t>Shop By Sport</t>
  </si>
  <si>
    <t>Garmin Forerunner 910XT GPS Watch</t>
  </si>
  <si>
    <t>Dell Laptop</t>
  </si>
  <si>
    <t>Computers</t>
  </si>
  <si>
    <t>Stiga Master Series ST3100 Competition Indoor</t>
  </si>
  <si>
    <t>Hockey</t>
  </si>
  <si>
    <t>Web Camera</t>
  </si>
  <si>
    <t>Cameras</t>
  </si>
  <si>
    <t>Lawn mower</t>
  </si>
  <si>
    <t>Garden</t>
  </si>
  <si>
    <t>Children's heaters</t>
  </si>
  <si>
    <t>Children's Clothing</t>
  </si>
  <si>
    <t>Porcelain crafts</t>
  </si>
  <si>
    <t>Crafts</t>
  </si>
  <si>
    <t>Summer dresses</t>
  </si>
  <si>
    <t>Women's Clothing</t>
  </si>
  <si>
    <t>Top 15 categories by gross sales</t>
  </si>
  <si>
    <t>Electronics</t>
  </si>
  <si>
    <t>Metrics Validation</t>
  </si>
  <si>
    <t>Every headline claim is recalculated from the processed source</t>
  </si>
  <si>
    <t>metric</t>
  </si>
  <si>
    <t>resume_claim</t>
  </si>
  <si>
    <t>calculated_value</t>
  </si>
  <si>
    <t>definition</t>
  </si>
  <si>
    <t>result</t>
  </si>
  <si>
    <t>Total records</t>
  </si>
  <si>
    <t>180K+</t>
  </si>
  <si>
    <t>COUNT(*)</t>
  </si>
  <si>
    <t>Verified</t>
  </si>
  <si>
    <t>Distinct orders</t>
  </si>
  <si>
    <t>65.7K</t>
  </si>
  <si>
    <t>COUNT(DISTINCT order_id)</t>
  </si>
  <si>
    <t>Correct value is 65,752 (65.75K; 65.8K to 1 decimal)</t>
  </si>
  <si>
    <t>Total sales</t>
  </si>
  <si>
    <t>$36.78M</t>
  </si>
  <si>
    <t>SUM(gross_sales / source Sales)</t>
  </si>
  <si>
    <t>Verified as gross sales; net sales are $33.05M</t>
  </si>
  <si>
    <t>Total profit</t>
  </si>
  <si>
    <t>$3.97M</t>
  </si>
  <si>
    <t>SUM(profit / source Order Profit Per Order)</t>
  </si>
  <si>
    <t>Late-delivery rate</t>
  </si>
  <si>
    <t>54.83%</t>
  </si>
  <si>
    <t>SUM(late_delivery_risk) / COUNT(*)</t>
  </si>
  <si>
    <t>Verified at line-item row grain; order-level rate is 54.82%</t>
  </si>
  <si>
    <t>AOV</t>
  </si>
  <si>
    <t>$559.46</t>
  </si>
  <si>
    <t>SUM(gross_sales) / COUNT(DISTINCT order_id)</t>
  </si>
  <si>
    <t>Correct two-decimal rounding is $559.45</t>
  </si>
  <si>
    <t>Data Quality Assessment</t>
  </si>
  <si>
    <t>Checks cover grain, completeness, monetary consistency, and operational fields</t>
  </si>
  <si>
    <t>check</t>
  </si>
  <si>
    <t>expected</t>
  </si>
  <si>
    <t>actual</t>
  </si>
  <si>
    <t>status</t>
  </si>
  <si>
    <t>interpretation</t>
  </si>
  <si>
    <t>Dataset rows</t>
  </si>
  <si>
    <t>Pass</t>
  </si>
  <si>
    <t>Line-item grain; Order Item Id is unique</t>
  </si>
  <si>
    <t>Dataset columns (raw)</t>
  </si>
  <si>
    <t>53 source columns</t>
  </si>
  <si>
    <t>Exact duplicate rows</t>
  </si>
  <si>
    <t>No exact duplicates expected</t>
  </si>
  <si>
    <t>Unique Order Item Id</t>
  </si>
  <si>
    <t>Candidate primary key</t>
  </si>
  <si>
    <t>Order date parse failures</t>
  </si>
  <si>
    <t>Parsed as source-local timestamps</t>
  </si>
  <si>
    <t>Shipping date parse failures</t>
  </si>
  <si>
    <t>Negative sales rows</t>
  </si>
  <si>
    <t>Gross sales must be non-negative</t>
  </si>
  <si>
    <t>Negative quantity rows</t>
  </si>
  <si>
    <t>Quantity must be non-negative</t>
  </si>
  <si>
    <t>Discount rate outside 0-1</t>
  </si>
  <si>
    <t>Rate domain check</t>
  </si>
  <si>
    <t>Late-risk/status mismatches</t>
  </si>
  <si>
    <t>Risk flag agrees with delivery status</t>
  </si>
  <si>
    <t>Shipping before order rows</t>
  </si>
  <si>
    <t>Temporal integrity</t>
  </si>
  <si>
    <t>Product description missing</t>
  </si>
  <si>
    <t>Documented</t>
  </si>
  <si>
    <t>Entirely empty; removed from cleaned file</t>
  </si>
  <si>
    <t>Order zipcode missing</t>
  </si>
  <si>
    <t>86.24% missing; removed from cleaned file</t>
  </si>
  <si>
    <t>Timestamp duration differs by 0.5 day</t>
  </si>
  <si>
    <t>Use supplied actual_shipping_days for KPI consistency</t>
  </si>
  <si>
    <t>KPI filter cube</t>
  </si>
  <si>
    <t>Month</t>
  </si>
  <si>
    <t>Gross Sales ($M)</t>
  </si>
  <si>
    <t>Net Sales</t>
  </si>
  <si>
    <t>Profit</t>
  </si>
  <si>
    <t>Orders</t>
  </si>
  <si>
    <t>Segment</t>
  </si>
  <si>
    <t>Shipping Mode</t>
  </si>
  <si>
    <t>Category</t>
  </si>
  <si>
    <t>Delivery Status</t>
  </si>
  <si>
    <t>late_records</t>
  </si>
  <si>
    <t>Monthly filter cube</t>
  </si>
  <si>
    <t>Data Dictionary</t>
  </si>
  <si>
    <t>Original DataCo field definitions</t>
  </si>
  <si>
    <t>FIELDS</t>
  </si>
  <si>
    <t>DESCRIPTION</t>
  </si>
  <si>
    <t>Type</t>
  </si>
  <si>
    <t>:  Type of transaction made</t>
  </si>
  <si>
    <t>Days for shipping (real)</t>
  </si>
  <si>
    <t>:  Actual shipping days of the purchased product</t>
  </si>
  <si>
    <t>Days for shipment (scheduled)</t>
  </si>
  <si>
    <t>:  Days of scheduled delivery of the purchased product</t>
  </si>
  <si>
    <t>Benefit per order</t>
  </si>
  <si>
    <t>:  Earnings per order placed</t>
  </si>
  <si>
    <t>Sales per customer</t>
  </si>
  <si>
    <t>:  Total sales per customer made per customer</t>
  </si>
  <si>
    <t>:  Delivery status of orders: Advance shipping , Late delivery , Shipping canceled , Shipping on time</t>
  </si>
  <si>
    <t>Late_delivery_risk</t>
  </si>
  <si>
    <t>:  Categorical variable that indicates if sending is late (1), it is not late (0).</t>
  </si>
  <si>
    <t>Category Id</t>
  </si>
  <si>
    <t>:  Product category code</t>
  </si>
  <si>
    <t>Category Name</t>
  </si>
  <si>
    <t>:  Description of the product category</t>
  </si>
  <si>
    <t>Customer City</t>
  </si>
  <si>
    <t>:  City where the customer made the purchase</t>
  </si>
  <si>
    <t>Customer Country</t>
  </si>
  <si>
    <t>:  Country where the customer made the purchase</t>
  </si>
  <si>
    <t>Customer Email</t>
  </si>
  <si>
    <t>:  Customer's email</t>
  </si>
  <si>
    <t>Customer Fname</t>
  </si>
  <si>
    <t>:  Customer name</t>
  </si>
  <si>
    <t>Customer Id</t>
  </si>
  <si>
    <t>:  Customer ID</t>
  </si>
  <si>
    <t>Customer Lname</t>
  </si>
  <si>
    <t>:  Customer lastname</t>
  </si>
  <si>
    <t>Customer Password</t>
  </si>
  <si>
    <t>:  Masked customer key</t>
  </si>
  <si>
    <t>Customer Segment</t>
  </si>
  <si>
    <t>:  Types of Customers: Consumer , Corporate , Home Office</t>
  </si>
  <si>
    <t>Customer State</t>
  </si>
  <si>
    <t>:  State to which the store where the purchase is registered belongs</t>
  </si>
  <si>
    <t>Customer Street</t>
  </si>
  <si>
    <t>:  Street to which the store where the purchase is registered belongs</t>
  </si>
  <si>
    <t>Customer Zipcode</t>
  </si>
  <si>
    <t>:  Customer Zipcode</t>
  </si>
  <si>
    <t>Department Id</t>
  </si>
  <si>
    <t>:  Department code of store</t>
  </si>
  <si>
    <t>Department Name</t>
  </si>
  <si>
    <t>:  Department name of store</t>
  </si>
  <si>
    <t>Latitude</t>
  </si>
  <si>
    <t>:  Latitude corresponding to location of store</t>
  </si>
  <si>
    <t>Longitude</t>
  </si>
  <si>
    <t>:  Longitude corresponding to location of store</t>
  </si>
  <si>
    <t>:  Market to where the order is delivered : Africa , Europe , LATAM , Pacific Asia , USCA</t>
  </si>
  <si>
    <t>Order City</t>
  </si>
  <si>
    <t>:  Destination city of the order</t>
  </si>
  <si>
    <t>Order Country</t>
  </si>
  <si>
    <t>:  Destination country of the order</t>
  </si>
  <si>
    <t>Order Customer Id</t>
  </si>
  <si>
    <t>:  Customer order code</t>
  </si>
  <si>
    <t>order date (DateOrders)</t>
  </si>
  <si>
    <t>:  Date on which the order is made</t>
  </si>
  <si>
    <t>Order Id</t>
  </si>
  <si>
    <t>:  Order code</t>
  </si>
  <si>
    <t>Order Item Cardprod Id</t>
  </si>
  <si>
    <t>:  Product code generated through the RFID reader</t>
  </si>
  <si>
    <t>Order Item Discount</t>
  </si>
  <si>
    <t>:  Order item discount value</t>
  </si>
  <si>
    <t>Order Item Discount Rate</t>
  </si>
  <si>
    <t>:  Order item discount percentage</t>
  </si>
  <si>
    <t>Order Item Id</t>
  </si>
  <si>
    <t>:  Order item code</t>
  </si>
  <si>
    <t>Order Item Product Price</t>
  </si>
  <si>
    <t>:  Price of products without discount</t>
  </si>
  <si>
    <t>Order Item Profit Ratio</t>
  </si>
  <si>
    <t>:  Order Item Profit Ratio</t>
  </si>
  <si>
    <t>Order Item Quantity</t>
  </si>
  <si>
    <t>:  Number of products per order</t>
  </si>
  <si>
    <t>Sales</t>
  </si>
  <si>
    <t>:  Value in sales</t>
  </si>
  <si>
    <t>Order Item Total</t>
  </si>
  <si>
    <t>:  Total amount per order</t>
  </si>
  <si>
    <t>Order Profit Per Order</t>
  </si>
  <si>
    <t>:  Order Profit Per Order</t>
  </si>
  <si>
    <t>Order Region</t>
  </si>
  <si>
    <t>:  Region of the world where the order is delivered :  Southeast Asia ,South Asia ,Oceania ,Eastern Asia, West Asia , West of USA , US Center , West Africa, Central Africa ,North Africa ,Western Europe ,Northern , Caribbean , South America ,East Africa ,Southern Europe , East of USA ,Canada ,Southern Africa , Central Asia ,  Europe , Central America, Eastern Europe , South of  USA</t>
  </si>
  <si>
    <t>Order State</t>
  </si>
  <si>
    <t>:  State of the region where the order is delivered</t>
  </si>
  <si>
    <t>Order Status</t>
  </si>
  <si>
    <t>:  Order Status : COMPLETE , PENDING , CLOSED , PENDING_PAYMENT ,CANCELED , PROCESSING ,SUSPECTED_FRAUD ,ON_HOLD ,PAYMENT_REVIEW</t>
  </si>
  <si>
    <t>Product Card Id</t>
  </si>
  <si>
    <t>:  Product code</t>
  </si>
  <si>
    <t>Product Category Id</t>
  </si>
  <si>
    <t>Product Description</t>
  </si>
  <si>
    <t>:  Product Description</t>
  </si>
  <si>
    <t>Product Image</t>
  </si>
  <si>
    <t>:  Link of visit and purchase of the product</t>
  </si>
  <si>
    <t>Product Name</t>
  </si>
  <si>
    <t>:  Product Name</t>
  </si>
  <si>
    <t>Product Price</t>
  </si>
  <si>
    <t>:  Product Price</t>
  </si>
  <si>
    <t>Product Status</t>
  </si>
  <si>
    <t>:  Status of the product stock :If it is 1 not available , 0 the product is available</t>
  </si>
  <si>
    <t>Shipping date (DateOrders)</t>
  </si>
  <si>
    <t>:  Exact date and time of shipment</t>
  </si>
  <si>
    <t>:  The following shipping modes are presented : Standard Class , First Class , Second Class , Same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</si>
</sst>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\$0.00,,&quot;M&quot;"/>
    <numFmt numFmtId="166" formatCode="\$#,##0.00,,&quot;M&quot;"/>
  </numFmts>
  <fonts count="11">
    <font>
      <sz val="11"/>
      <name val="Carlito"/>
    </font>
    <font>
      <b/>
      <sz val="14"/>
      <color rgb="FF17324D"/>
      <name val="Arial"/>
    </font>
    <font>
      <sz val="10"/>
      <color rgb="FF202B33"/>
      <name val="Arial"/>
    </font>
    <font>
      <b/>
      <sz val="10"/>
      <color rgb="FFFFFFFF"/>
      <name val="Arial"/>
    </font>
    <font>
      <b/>
      <sz val="16"/>
      <color rgb="FF17324D"/>
      <name val="Arial"/>
    </font>
    <font>
      <i/>
      <sz val="10"/>
      <color rgb="FF65727E"/>
      <name val="Arial"/>
    </font>
    <font>
      <b/>
      <sz val="10"/>
      <color rgb="FF17324D"/>
      <name val="Arial"/>
    </font>
    <font>
      <i/>
      <sz val="9"/>
      <color rgb="FF65727E"/>
      <name val="Arial"/>
    </font>
    <font>
      <sz val="11"/>
      <color rgb="FF202B33"/>
      <name val="Arial"/>
    </font>
    <font>
      <b/>
      <sz val="10"/>
      <color rgb="FF65727E"/>
      <name val="Arial"/>
    </font>
    <font>
      <b/>
      <sz val="11"/>
      <color rgb="FF17324D"/>
      <name val="Arial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5D6"/>
      </patternFill>
    </fill>
    <fill>
      <patternFill patternType="solid">
        <fgColor rgb="FFF5F7F9"/>
      </patternFill>
    </fill>
    <fill>
      <patternFill patternType="solid">
        <fgColor rgb="FFEAF0FF"/>
      </patternFill>
    </fill>
  </fills>
  <borders count="1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/>
      <bottom style="medium">
        <color rgb="FF2F6BFF"/>
      </bottom>
      <diagonal/>
    </border>
    <border>
      <left style="thin">
        <color rgb="FFD9E1E8"/>
      </left>
      <right/>
      <top style="thin">
        <color rgb="FFD9E1E8"/>
      </top>
      <bottom/>
      <diagonal/>
    </border>
    <border>
      <left/>
      <right style="thin">
        <color rgb="FFD9E1E8"/>
      </right>
      <top style="thin">
        <color rgb="FFD9E1E8"/>
      </top>
      <bottom/>
      <diagonal/>
    </border>
    <border>
      <left style="thin">
        <color rgb="FFD9E1E8"/>
      </left>
      <right/>
      <top/>
      <bottom/>
      <diagonal/>
    </border>
    <border>
      <left/>
      <right style="thin">
        <color rgb="FFD9E1E8"/>
      </right>
      <top/>
      <bottom/>
      <diagonal/>
    </border>
    <border>
      <left style="thin">
        <color rgb="FFD9E1E8"/>
      </left>
      <right/>
      <top/>
      <bottom style="thin">
        <color rgb="FFD9E1E8"/>
      </bottom>
      <diagonal/>
    </border>
    <border>
      <left/>
      <right style="thin">
        <color rgb="FFD9E1E8"/>
      </right>
      <top/>
      <bottom style="thin">
        <color rgb="FFD9E1E8"/>
      </bottom>
      <diagonal/>
    </border>
    <border>
      <left/>
      <right/>
      <top/>
      <bottom style="thin">
        <color rgb="FF2F6BFF"/>
      </bottom>
      <diagonal/>
    </border>
    <border>
      <left/>
      <right/>
      <top style="medium">
        <color rgb="FF2F6BFF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2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0" fillId="0" borderId="6" xfId="0" applyBorder="1"/>
    <xf numFmtId="0" fontId="4" fillId="0" borderId="6" xfId="0" applyFont="1" applyBorder="1"/>
    <xf numFmtId="0" fontId="5" fillId="0" borderId="0" xfId="0" applyFont="1"/>
    <xf numFmtId="0" fontId="6" fillId="3" borderId="0" xfId="0" applyFont="1" applyFill="1"/>
    <xf numFmtId="0" fontId="7" fillId="0" borderId="0" xfId="0" applyFont="1"/>
    <xf numFmtId="0" fontId="8" fillId="4" borderId="8" xfId="0" applyFont="1" applyFill="1" applyBorder="1"/>
    <xf numFmtId="0" fontId="8" fillId="4" borderId="9" xfId="0" applyFont="1" applyFill="1" applyBorder="1"/>
    <xf numFmtId="0" fontId="8" fillId="4" borderId="10" xfId="0" applyFont="1" applyFill="1" applyBorder="1"/>
    <xf numFmtId="0" fontId="8" fillId="4" borderId="11" xfId="0" applyFont="1" applyFill="1" applyBorder="1"/>
    <xf numFmtId="0" fontId="8" fillId="4" borderId="12" xfId="0" applyFont="1" applyFill="1" applyBorder="1"/>
    <xf numFmtId="0" fontId="9" fillId="4" borderId="7" xfId="0" applyFont="1" applyFill="1" applyBorder="1"/>
    <xf numFmtId="3" fontId="1" fillId="4" borderId="9" xfId="0" applyNumberFormat="1" applyFont="1" applyFill="1" applyBorder="1"/>
    <xf numFmtId="165" fontId="1" fillId="4" borderId="9" xfId="0" applyNumberFormat="1" applyFont="1" applyFill="1" applyBorder="1"/>
    <xf numFmtId="166" fontId="1" fillId="4" borderId="9" xfId="0" applyNumberFormat="1" applyFont="1" applyFill="1" applyBorder="1"/>
    <xf numFmtId="164" fontId="1" fillId="4" borderId="9" xfId="0" applyNumberFormat="1" applyFont="1" applyFill="1" applyBorder="1"/>
    <xf numFmtId="10" fontId="1" fillId="4" borderId="9" xfId="0" applyNumberFormat="1" applyFont="1" applyFill="1" applyBorder="1"/>
    <xf numFmtId="0" fontId="10" fillId="5" borderId="13" xfId="0" applyFont="1" applyFill="1" applyBorder="1"/>
    <xf numFmtId="164" fontId="2" fillId="0" borderId="4" xfId="0" applyNumberFormat="1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10" fontId="2" fillId="0" borderId="4" xfId="0" applyNumberFormat="1" applyFont="1" applyBorder="1" applyAlignment="1">
      <alignment vertical="center"/>
    </xf>
    <xf numFmtId="10" fontId="2" fillId="0" borderId="5" xfId="0" applyNumberFormat="1" applyFont="1" applyBorder="1" applyAlignment="1">
      <alignment vertical="center"/>
    </xf>
    <xf numFmtId="2" fontId="2" fillId="0" borderId="4" xfId="0" applyNumberFormat="1" applyFont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3" fontId="2" fillId="0" borderId="4" xfId="0" applyNumberFormat="1" applyFont="1" applyBorder="1" applyAlignment="1">
      <alignment vertical="center" wrapText="1"/>
    </xf>
    <xf numFmtId="3" fontId="2" fillId="0" borderId="5" xfId="0" applyNumberFormat="1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0" fontId="2" fillId="0" borderId="5" xfId="0" applyNumberFormat="1" applyFont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14" xfId="0" applyFont="1" applyBorder="1" applyAlignment="1"/>
    <xf numFmtId="0" fontId="5" fillId="0" borderId="14" xfId="0" applyFont="1" applyBorder="1"/>
  </cellXfs>
  <cellStyles count="1">
    <cellStyle name="Normal" xfId="0" builtinId="0"/>
  </cellStyles>
  <dxfs count="2">
    <dxf>
      <font>
        <b/>
        <color rgb="FFA85D00"/>
      </font>
      <fill>
        <patternFill patternType="solid">
          <bgColor rgb="FFFFF0DB"/>
        </patternFill>
      </fill>
    </dxf>
    <dxf>
      <font>
        <b/>
        <color rgb="FFA85D00"/>
      </font>
      <fill>
        <patternFill patternType="solid">
          <bgColor rgb="FFFFF0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Gross Sales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Gross Sales ($M)</c:v>
          </c:tx>
          <c:marker>
            <c:symbol val="none"/>
          </c:marker>
          <c:cat>
            <c:strRef>
              <c:f>'Dashboard Data'!$Q$2:$Q$38</c:f>
              <c:strCache>
                <c:ptCount val="37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</c:strCache>
            </c:strRef>
          </c:cat>
          <c:val>
            <c:numRef>
              <c:f>'Dashboard Data'!$R$2:$R$38</c:f>
              <c:numCache>
                <c:formatCode>0.00</c:formatCode>
                <c:ptCount val="37"/>
                <c:pt idx="0">
                  <c:v>1.0515900600000001</c:v>
                </c:pt>
                <c:pt idx="1">
                  <c:v>0.92700987999999995</c:v>
                </c:pt>
                <c:pt idx="2">
                  <c:v>1.0512536699999999</c:v>
                </c:pt>
                <c:pt idx="3">
                  <c:v>1.0144632600000001</c:v>
                </c:pt>
                <c:pt idx="4">
                  <c:v>1.0504784199999999</c:v>
                </c:pt>
                <c:pt idx="5">
                  <c:v>1.0240061499999999</c:v>
                </c:pt>
                <c:pt idx="6">
                  <c:v>1.0380811700000001</c:v>
                </c:pt>
                <c:pt idx="7">
                  <c:v>1.0294946700000001</c:v>
                </c:pt>
                <c:pt idx="8">
                  <c:v>1.01833858</c:v>
                </c:pt>
                <c:pt idx="9">
                  <c:v>1.04915425</c:v>
                </c:pt>
                <c:pt idx="10">
                  <c:v>1.02912022</c:v>
                </c:pt>
                <c:pt idx="11">
                  <c:v>1.05784086</c:v>
                </c:pt>
                <c:pt idx="12">
                  <c:v>1.04630823</c:v>
                </c:pt>
                <c:pt idx="13">
                  <c:v>0.96854282999999997</c:v>
                </c:pt>
                <c:pt idx="14">
                  <c:v>1.0258531</c:v>
                </c:pt>
                <c:pt idx="15">
                  <c:v>1.00121156</c:v>
                </c:pt>
                <c:pt idx="16">
                  <c:v>1.0294001800000001</c:v>
                </c:pt>
                <c:pt idx="17">
                  <c:v>1.00305953</c:v>
                </c:pt>
                <c:pt idx="18">
                  <c:v>1.0457156000000001</c:v>
                </c:pt>
                <c:pt idx="19">
                  <c:v>1.04820023</c:v>
                </c:pt>
                <c:pt idx="20">
                  <c:v>1.0023970200000001</c:v>
                </c:pt>
                <c:pt idx="21">
                  <c:v>1.0481305300000001</c:v>
                </c:pt>
                <c:pt idx="22">
                  <c:v>1.04759012</c:v>
                </c:pt>
                <c:pt idx="23">
                  <c:v>1.0374081500000001</c:v>
                </c:pt>
                <c:pt idx="24">
                  <c:v>1.029698</c:v>
                </c:pt>
                <c:pt idx="25">
                  <c:v>0.99253488000000001</c:v>
                </c:pt>
                <c:pt idx="26">
                  <c:v>1.04800476</c:v>
                </c:pt>
                <c:pt idx="27">
                  <c:v>1.0383216</c:v>
                </c:pt>
                <c:pt idx="28">
                  <c:v>1.1054853</c:v>
                </c:pt>
                <c:pt idx="29">
                  <c:v>1.0320864699999999</c:v>
                </c:pt>
                <c:pt idx="30">
                  <c:v>1.10437334</c:v>
                </c:pt>
                <c:pt idx="31">
                  <c:v>1.10933715</c:v>
                </c:pt>
                <c:pt idx="32">
                  <c:v>1.1437750900000001</c:v>
                </c:pt>
                <c:pt idx="33">
                  <c:v>1.0739941599999998</c:v>
                </c:pt>
                <c:pt idx="34">
                  <c:v>0.62691436999999994</c:v>
                </c:pt>
                <c:pt idx="35">
                  <c:v>0.50391081000000004</c:v>
                </c:pt>
                <c:pt idx="36">
                  <c:v>0.33165011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D4-48A3-B374-C7A7D7CFC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Gross Sales by Market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Sales ($M)</c:v>
          </c:tx>
          <c:invertIfNegative val="1"/>
          <c:cat>
            <c:strRef>
              <c:f>'Dashboard Data'!$X$2:$X$6</c:f>
              <c:strCache>
                <c:ptCount val="5"/>
                <c:pt idx="0">
                  <c:v>Africa</c:v>
                </c:pt>
                <c:pt idx="1">
                  <c:v>Europe</c:v>
                </c:pt>
                <c:pt idx="2">
                  <c:v>LATAM</c:v>
                </c:pt>
                <c:pt idx="3">
                  <c:v>Pacific Asia</c:v>
                </c:pt>
                <c:pt idx="4">
                  <c:v>USCA</c:v>
                </c:pt>
              </c:strCache>
            </c:strRef>
          </c:cat>
          <c:val>
            <c:numRef>
              <c:f>'Dashboard Data'!$Y$2:$Y$6</c:f>
              <c:numCache>
                <c:formatCode>0.00</c:formatCode>
                <c:ptCount val="5"/>
                <c:pt idx="0">
                  <c:v>2.2944528799999997</c:v>
                </c:pt>
                <c:pt idx="1">
                  <c:v>10.8723966</c:v>
                </c:pt>
                <c:pt idx="2">
                  <c:v>10.277612640000001</c:v>
                </c:pt>
                <c:pt idx="3">
                  <c:v>8.2737435799999997</c:v>
                </c:pt>
                <c:pt idx="4">
                  <c:v>5.0665286100000007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B-4A7C-9D4D-E79C6B64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Late Delivery Rate by Shipping Mode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Late Delivery %</c:v>
          </c:tx>
          <c:invertIfNegative val="1"/>
          <c:cat>
            <c:strRef>
              <c:f>'Dashboard Data'!$AD$2:$AD$5</c:f>
              <c:strCache>
                <c:ptCount val="4"/>
                <c:pt idx="0">
                  <c:v>First Class</c:v>
                </c:pt>
                <c:pt idx="1">
                  <c:v>Second Class</c:v>
                </c:pt>
                <c:pt idx="2">
                  <c:v>Same Day</c:v>
                </c:pt>
                <c:pt idx="3">
                  <c:v>Standard Class</c:v>
                </c:pt>
              </c:strCache>
            </c:strRef>
          </c:cat>
          <c:val>
            <c:numRef>
              <c:f>'Dashboard Data'!$AE$2:$AE$5</c:f>
              <c:numCache>
                <c:formatCode>0.00%</c:formatCode>
                <c:ptCount val="4"/>
                <c:pt idx="0">
                  <c:v>0.95267387637662471</c:v>
                </c:pt>
                <c:pt idx="1">
                  <c:v>0.76717796212239786</c:v>
                </c:pt>
                <c:pt idx="2">
                  <c:v>0.46149537944553348</c:v>
                </c:pt>
                <c:pt idx="3">
                  <c:v>0.38131929610416032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4-4946-BEE4-F75EF913B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Gross Sales by Customer Segment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Sales ($M)</c:v>
          </c:tx>
          <c:invertIfNegative val="1"/>
          <c:cat>
            <c:strRef>
              <c:f>'Dashboard Data'!$AA$2:$AA$4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'Dashboard Data'!$AB$2:$AB$4</c:f>
              <c:numCache>
                <c:formatCode>0.00</c:formatCode>
                <c:ptCount val="3"/>
                <c:pt idx="0">
                  <c:v>19.095789789999998</c:v>
                </c:pt>
                <c:pt idx="1">
                  <c:v>11.168406630000002</c:v>
                </c:pt>
                <c:pt idx="2">
                  <c:v>6.5205378899999999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F-47FA-A536-68AA7E7D3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Top Categories by Gross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Gross Sales ($M)</c:v>
          </c:tx>
          <c:invertIfNegative val="1"/>
          <c:cat>
            <c:strRef>
              <c:f>'Dashboard Data'!$AG$2:$AG$9</c:f>
              <c:strCache>
                <c:ptCount val="8"/>
                <c:pt idx="0">
                  <c:v>Fishing</c:v>
                </c:pt>
                <c:pt idx="1">
                  <c:v>Cleats</c:v>
                </c:pt>
                <c:pt idx="2">
                  <c:v>Camping &amp; Hiking</c:v>
                </c:pt>
                <c:pt idx="3">
                  <c:v>Cardio Equipment</c:v>
                </c:pt>
                <c:pt idx="4">
                  <c:v>Women's Apparel</c:v>
                </c:pt>
                <c:pt idx="5">
                  <c:v>Water Sports</c:v>
                </c:pt>
                <c:pt idx="6">
                  <c:v>Men's Footwear</c:v>
                </c:pt>
                <c:pt idx="7">
                  <c:v>Indoor/Outdoor Games</c:v>
                </c:pt>
              </c:strCache>
            </c:strRef>
          </c:cat>
          <c:val>
            <c:numRef>
              <c:f>'Dashboard Data'!$AH$2:$AH$9</c:f>
              <c:numCache>
                <c:formatCode>0.00</c:formatCode>
                <c:ptCount val="8"/>
                <c:pt idx="0">
                  <c:v>6.9296534999999997</c:v>
                </c:pt>
                <c:pt idx="1">
                  <c:v>4.4319426599999998</c:v>
                </c:pt>
                <c:pt idx="2">
                  <c:v>4.1184254200000003</c:v>
                </c:pt>
                <c:pt idx="3">
                  <c:v>3.6948432000000002</c:v>
                </c:pt>
                <c:pt idx="4">
                  <c:v>3.1478000000000002</c:v>
                </c:pt>
                <c:pt idx="5">
                  <c:v>3.1138446000000002</c:v>
                </c:pt>
                <c:pt idx="6">
                  <c:v>2.89175754</c:v>
                </c:pt>
                <c:pt idx="7">
                  <c:v>2.8889939399999998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1-4EB7-B187-9F12738AC6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txPr>
          <a:bodyPr anchorCtr="1"/>
          <a:lstStyle/>
          <a:p>
            <a:pPr>
              <a:defRPr sz="6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28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28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7</xdr:col>
      <xdr:colOff>0</xdr:colOff>
      <xdr:row>61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14</xdr:col>
      <xdr:colOff>0</xdr:colOff>
      <xdr:row>61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onthlyPerformance" displayName="MonthlyPerformance" ref="A5:L42" totalsRowShown="0">
  <tableColumns count="12">
    <tableColumn id="1" xr3:uid="{00000000-0010-0000-0000-000001000000}" name="order_year_month"/>
    <tableColumn id="2" xr3:uid="{00000000-0010-0000-0000-000002000000}" name="records"/>
    <tableColumn id="3" xr3:uid="{00000000-0010-0000-0000-000003000000}" name="orders"/>
    <tableColumn id="4" xr3:uid="{00000000-0010-0000-0000-000004000000}" name="units"/>
    <tableColumn id="5" xr3:uid="{00000000-0010-0000-0000-000005000000}" name="gross_sales"/>
    <tableColumn id="6" xr3:uid="{00000000-0010-0000-0000-000006000000}" name="net_sales"/>
    <tableColumn id="7" xr3:uid="{00000000-0010-0000-0000-000007000000}" name="profit"/>
    <tableColumn id="8" xr3:uid="{00000000-0010-0000-0000-000008000000}" name="gross_aov"/>
    <tableColumn id="9" xr3:uid="{00000000-0010-0000-0000-000009000000}" name="profit_margin_net"/>
    <tableColumn id="10" xr3:uid="{00000000-0010-0000-0000-00000A000000}" name="late_delivery_rate_row"/>
    <tableColumn id="11" xr3:uid="{00000000-0010-0000-0000-00000B000000}" name="gross_sales_yoy"/>
    <tableColumn id="12" xr3:uid="{00000000-0010-0000-0000-00000C000000}" name="profit_yo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YearlyPerformance" displayName="YearlyPerformance" ref="N6:V10" totalsRowShown="0">
  <tableColumns count="9">
    <tableColumn id="1" xr3:uid="{00000000-0010-0000-0100-000001000000}" name="order_year"/>
    <tableColumn id="2" xr3:uid="{00000000-0010-0000-0100-000002000000}" name="orders"/>
    <tableColumn id="3" xr3:uid="{00000000-0010-0000-0100-000003000000}" name="gross_sales"/>
    <tableColumn id="4" xr3:uid="{00000000-0010-0000-0100-000004000000}" name="net_sales"/>
    <tableColumn id="5" xr3:uid="{00000000-0010-0000-0100-000005000000}" name="profit"/>
    <tableColumn id="6" xr3:uid="{00000000-0010-0000-0100-000006000000}" name="gross_aov"/>
    <tableColumn id="7" xr3:uid="{00000000-0010-0000-0100-000007000000}" name="gross_sales_yoy"/>
    <tableColumn id="8" xr3:uid="{00000000-0010-0000-0100-000008000000}" name="profit_yoy"/>
    <tableColumn id="9" xr3:uid="{00000000-0010-0000-0100-000009000000}" name="period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SegmentSummary" displayName="SegmentSummary" ref="A6:L9" totalsRowShown="0">
  <tableColumns count="12">
    <tableColumn id="1" xr3:uid="{00000000-0010-0000-0200-000001000000}" name="customer_segment"/>
    <tableColumn id="2" xr3:uid="{00000000-0010-0000-0200-000002000000}" name="records"/>
    <tableColumn id="3" xr3:uid="{00000000-0010-0000-0200-000003000000}" name="orders"/>
    <tableColumn id="4" xr3:uid="{00000000-0010-0000-0200-000004000000}" name="units"/>
    <tableColumn id="5" xr3:uid="{00000000-0010-0000-0200-000005000000}" name="gross_sales"/>
    <tableColumn id="6" xr3:uid="{00000000-0010-0000-0200-000006000000}" name="net_sales"/>
    <tableColumn id="7" xr3:uid="{00000000-0010-0000-0200-000007000000}" name="discount"/>
    <tableColumn id="8" xr3:uid="{00000000-0010-0000-0200-000008000000}" name="profit"/>
    <tableColumn id="9" xr3:uid="{00000000-0010-0000-0200-000009000000}" name="gross_aov"/>
    <tableColumn id="10" xr3:uid="{00000000-0010-0000-0200-00000A000000}" name="net_aov"/>
    <tableColumn id="11" xr3:uid="{00000000-0010-0000-0200-00000B000000}" name="profit_margin_net"/>
    <tableColumn id="12" xr3:uid="{00000000-0010-0000-0200-00000C000000}" name="late_delivery_rate_r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MarketSummary" displayName="MarketSummary" ref="A13:L18" totalsRowShown="0">
  <tableColumns count="12">
    <tableColumn id="1" xr3:uid="{00000000-0010-0000-0300-000001000000}" name="market"/>
    <tableColumn id="2" xr3:uid="{00000000-0010-0000-0300-000002000000}" name="records"/>
    <tableColumn id="3" xr3:uid="{00000000-0010-0000-0300-000003000000}" name="orders"/>
    <tableColumn id="4" xr3:uid="{00000000-0010-0000-0300-000004000000}" name="units"/>
    <tableColumn id="5" xr3:uid="{00000000-0010-0000-0300-000005000000}" name="gross_sales"/>
    <tableColumn id="6" xr3:uid="{00000000-0010-0000-0300-000006000000}" name="net_sales"/>
    <tableColumn id="7" xr3:uid="{00000000-0010-0000-0300-000007000000}" name="discount"/>
    <tableColumn id="8" xr3:uid="{00000000-0010-0000-0300-000008000000}" name="profit"/>
    <tableColumn id="9" xr3:uid="{00000000-0010-0000-0300-000009000000}" name="gross_aov"/>
    <tableColumn id="10" xr3:uid="{00000000-0010-0000-0300-00000A000000}" name="net_aov"/>
    <tableColumn id="11" xr3:uid="{00000000-0010-0000-0300-00000B000000}" name="profit_margin_net"/>
    <tableColumn id="12" xr3:uid="{00000000-0010-0000-0300-00000C000000}" name="late_delivery_rate_ro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RegionSummary" displayName="RegionSummary" ref="A23:I46" totalsRowShown="0">
  <tableColumns count="9">
    <tableColumn id="1" xr3:uid="{00000000-0010-0000-0400-000001000000}" name="order_region"/>
    <tableColumn id="2" xr3:uid="{00000000-0010-0000-0400-000002000000}" name="records"/>
    <tableColumn id="3" xr3:uid="{00000000-0010-0000-0400-000003000000}" name="orders"/>
    <tableColumn id="4" xr3:uid="{00000000-0010-0000-0400-000004000000}" name="gross_sales"/>
    <tableColumn id="5" xr3:uid="{00000000-0010-0000-0400-000005000000}" name="net_sales"/>
    <tableColumn id="6" xr3:uid="{00000000-0010-0000-0400-000006000000}" name="profit"/>
    <tableColumn id="7" xr3:uid="{00000000-0010-0000-0400-000007000000}" name="gross_aov"/>
    <tableColumn id="8" xr3:uid="{00000000-0010-0000-0400-000008000000}" name="profit_margin_net"/>
    <tableColumn id="9" xr3:uid="{00000000-0010-0000-0400-000009000000}" name="late_delivery_rate_ro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ShippingModeSummary" displayName="ShippingModeSummary" ref="A6:M10" totalsRowShown="0">
  <tableColumns count="13">
    <tableColumn id="1" xr3:uid="{00000000-0010-0000-0500-000001000000}" name="shipping_mode"/>
    <tableColumn id="2" xr3:uid="{00000000-0010-0000-0500-000002000000}" name="orders"/>
    <tableColumn id="3" xr3:uid="{00000000-0010-0000-0500-000003000000}" name="gross_sales"/>
    <tableColumn id="4" xr3:uid="{00000000-0010-0000-0500-000004000000}" name="net_sales"/>
    <tableColumn id="5" xr3:uid="{00000000-0010-0000-0500-000005000000}" name="profit"/>
    <tableColumn id="6" xr3:uid="{00000000-0010-0000-0500-000006000000}" name="late_orders"/>
    <tableColumn id="7" xr3:uid="{00000000-0010-0000-0500-000007000000}" name="avg_actual_shipping_days"/>
    <tableColumn id="8" xr3:uid="{00000000-0010-0000-0500-000008000000}" name="avg_scheduled_shipping_days"/>
    <tableColumn id="9" xr3:uid="{00000000-0010-0000-0500-000009000000}" name="avg_shipping_variance_days"/>
    <tableColumn id="10" xr3:uid="{00000000-0010-0000-0500-00000A000000}" name="late_delivery_rate_order"/>
    <tableColumn id="11" xr3:uid="{00000000-0010-0000-0500-00000B000000}" name="gross_aov"/>
    <tableColumn id="12" xr3:uid="{00000000-0010-0000-0500-00000C000000}" name="net_aov"/>
    <tableColumn id="13" xr3:uid="{00000000-0010-0000-0500-00000D000000}" name="profit_margin_n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DeliveryStatusSummary" displayName="DeliveryStatusSummary" ref="A15:M19" totalsRowShown="0">
  <tableColumns count="13">
    <tableColumn id="1" xr3:uid="{00000000-0010-0000-0600-000001000000}" name="delivery_status"/>
    <tableColumn id="2" xr3:uid="{00000000-0010-0000-0600-000002000000}" name="orders"/>
    <tableColumn id="3" xr3:uid="{00000000-0010-0000-0600-000003000000}" name="gross_sales"/>
    <tableColumn id="4" xr3:uid="{00000000-0010-0000-0600-000004000000}" name="net_sales"/>
    <tableColumn id="5" xr3:uid="{00000000-0010-0000-0600-000005000000}" name="profit"/>
    <tableColumn id="6" xr3:uid="{00000000-0010-0000-0600-000006000000}" name="late_orders"/>
    <tableColumn id="7" xr3:uid="{00000000-0010-0000-0600-000007000000}" name="avg_actual_shipping_days"/>
    <tableColumn id="8" xr3:uid="{00000000-0010-0000-0600-000008000000}" name="avg_scheduled_shipping_days"/>
    <tableColumn id="9" xr3:uid="{00000000-0010-0000-0600-000009000000}" name="avg_shipping_variance_days"/>
    <tableColumn id="10" xr3:uid="{00000000-0010-0000-0600-00000A000000}" name="late_delivery_rate_order"/>
    <tableColumn id="11" xr3:uid="{00000000-0010-0000-0600-00000B000000}" name="gross_aov"/>
    <tableColumn id="12" xr3:uid="{00000000-0010-0000-0600-00000C000000}" name="net_aov"/>
    <tableColumn id="13" xr3:uid="{00000000-0010-0000-0600-00000D000000}" name="profit_margin_ne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opProducts" displayName="TopProducts" ref="A6:K21" totalsRowShown="0">
  <tableColumns count="11">
    <tableColumn id="1" xr3:uid="{00000000-0010-0000-0700-000001000000}" name="product_id"/>
    <tableColumn id="2" xr3:uid="{00000000-0010-0000-0700-000002000000}" name="product_name"/>
    <tableColumn id="3" xr3:uid="{00000000-0010-0000-0700-000003000000}" name="category_name"/>
    <tableColumn id="4" xr3:uid="{00000000-0010-0000-0700-000004000000}" name="records"/>
    <tableColumn id="5" xr3:uid="{00000000-0010-0000-0700-000005000000}" name="orders"/>
    <tableColumn id="6" xr3:uid="{00000000-0010-0000-0700-000006000000}" name="units"/>
    <tableColumn id="7" xr3:uid="{00000000-0010-0000-0700-000007000000}" name="gross_sales"/>
    <tableColumn id="8" xr3:uid="{00000000-0010-0000-0700-000008000000}" name="net_sales"/>
    <tableColumn id="9" xr3:uid="{00000000-0010-0000-0700-000009000000}" name="profit"/>
    <tableColumn id="10" xr3:uid="{00000000-0010-0000-0700-00000A000000}" name="profit_margin_net"/>
    <tableColumn id="11" xr3:uid="{00000000-0010-0000-0700-00000B000000}" name="late_delivery_rate_ro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BottomProducts" displayName="BottomProducts" ref="M6:W16" totalsRowShown="0">
  <tableColumns count="11">
    <tableColumn id="1" xr3:uid="{00000000-0010-0000-0800-000001000000}" name="product_id"/>
    <tableColumn id="2" xr3:uid="{00000000-0010-0000-0800-000002000000}" name="product_name"/>
    <tableColumn id="3" xr3:uid="{00000000-0010-0000-0800-000003000000}" name="category_name"/>
    <tableColumn id="4" xr3:uid="{00000000-0010-0000-0800-000004000000}" name="records"/>
    <tableColumn id="5" xr3:uid="{00000000-0010-0000-0800-000005000000}" name="orders"/>
    <tableColumn id="6" xr3:uid="{00000000-0010-0000-0800-000006000000}" name="units"/>
    <tableColumn id="7" xr3:uid="{00000000-0010-0000-0800-000007000000}" name="gross_sales"/>
    <tableColumn id="8" xr3:uid="{00000000-0010-0000-0800-000008000000}" name="net_sales"/>
    <tableColumn id="9" xr3:uid="{00000000-0010-0000-0800-000009000000}" name="profit"/>
    <tableColumn id="10" xr3:uid="{00000000-0010-0000-0800-00000A000000}" name="profit_margin_net"/>
    <tableColumn id="11" xr3:uid="{00000000-0010-0000-0800-00000B000000}" name="late_delivery_rate_row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TopCategories" displayName="TopCategories" ref="A26:K41" totalsRowShown="0">
  <tableColumns count="11">
    <tableColumn id="1" xr3:uid="{00000000-0010-0000-0900-000001000000}" name="category_name"/>
    <tableColumn id="2" xr3:uid="{00000000-0010-0000-0900-000002000000}" name="records"/>
    <tableColumn id="3" xr3:uid="{00000000-0010-0000-0900-000003000000}" name="orders"/>
    <tableColumn id="4" xr3:uid="{00000000-0010-0000-0900-000004000000}" name="units"/>
    <tableColumn id="5" xr3:uid="{00000000-0010-0000-0900-000005000000}" name="gross_sales"/>
    <tableColumn id="6" xr3:uid="{00000000-0010-0000-0900-000006000000}" name="net_sales"/>
    <tableColumn id="7" xr3:uid="{00000000-0010-0000-0900-000007000000}" name="discount"/>
    <tableColumn id="8" xr3:uid="{00000000-0010-0000-0900-000008000000}" name="profit"/>
    <tableColumn id="9" xr3:uid="{00000000-0010-0000-0900-000009000000}" name="gross_aov"/>
    <tableColumn id="10" xr3:uid="{00000000-0010-0000-0900-00000A000000}" name="profit_margin_net"/>
    <tableColumn id="11" xr3:uid="{00000000-0010-0000-0900-00000B000000}" name="late_delivery_rate_row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MetricsValidation" displayName="MetricsValidation" ref="A5:E11" totalsRowShown="0">
  <tableColumns count="5">
    <tableColumn id="1" xr3:uid="{00000000-0010-0000-0A00-000001000000}" name="metric"/>
    <tableColumn id="2" xr3:uid="{00000000-0010-0000-0A00-000002000000}" name="resume_claim"/>
    <tableColumn id="3" xr3:uid="{00000000-0010-0000-0A00-000003000000}" name="calculated_value"/>
    <tableColumn id="4" xr3:uid="{00000000-0010-0000-0A00-000004000000}" name="definition"/>
    <tableColumn id="5" xr3:uid="{00000000-0010-0000-0A00-000005000000}" name="resul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B000000}" name="DataQualityChecks" displayName="DataQualityChecks" ref="A5:E19" totalsRowShown="0">
  <tableColumns count="5">
    <tableColumn id="1" xr3:uid="{00000000-0010-0000-0B00-000001000000}" name="check"/>
    <tableColumn id="2" xr3:uid="{00000000-0010-0000-0B00-000002000000}" name="expected"/>
    <tableColumn id="3" xr3:uid="{00000000-0010-0000-0B00-000003000000}" name="actual"/>
    <tableColumn id="4" xr3:uid="{00000000-0010-0000-0B00-000004000000}" name="status"/>
    <tableColumn id="5" xr3:uid="{00000000-0010-0000-0B00-000005000000}" name="interpreta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C000000}" name="KpiFilterCube" displayName="KpiFilterCube" ref="A3:N27" totalsRowShown="0">
  <tableColumns count="14">
    <tableColumn id="1" xr3:uid="{00000000-0010-0000-0C00-000001000000}" name="market"/>
    <tableColumn id="2" xr3:uid="{00000000-0010-0000-0C00-000002000000}" name="customer_segment"/>
    <tableColumn id="3" xr3:uid="{00000000-0010-0000-0C00-000003000000}" name="records"/>
    <tableColumn id="4" xr3:uid="{00000000-0010-0000-0C00-000004000000}" name="orders"/>
    <tableColumn id="5" xr3:uid="{00000000-0010-0000-0C00-000005000000}" name="units"/>
    <tableColumn id="6" xr3:uid="{00000000-0010-0000-0C00-000006000000}" name="gross_sales"/>
    <tableColumn id="7" xr3:uid="{00000000-0010-0000-0C00-000007000000}" name="net_sales"/>
    <tableColumn id="8" xr3:uid="{00000000-0010-0000-0C00-000008000000}" name="discount"/>
    <tableColumn id="9" xr3:uid="{00000000-0010-0000-0C00-000009000000}" name="profit"/>
    <tableColumn id="10" xr3:uid="{00000000-0010-0000-0C00-00000A000000}" name="late_records"/>
    <tableColumn id="11" xr3:uid="{00000000-0010-0000-0C00-00000B000000}" name="gross_aov"/>
    <tableColumn id="12" xr3:uid="{00000000-0010-0000-0C00-00000C000000}" name="net_aov"/>
    <tableColumn id="13" xr3:uid="{00000000-0010-0000-0C00-00000D000000}" name="profit_margin_net"/>
    <tableColumn id="14" xr3:uid="{00000000-0010-0000-0C00-00000E000000}" name="late_delivery_rate_row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D000000}" name="MonthlyFilterCube" displayName="MonthlyFilterCube" ref="A31:O423" totalsRowShown="0">
  <tableColumns count="15">
    <tableColumn id="1" xr3:uid="{00000000-0010-0000-0D00-000001000000}" name="market"/>
    <tableColumn id="2" xr3:uid="{00000000-0010-0000-0D00-000002000000}" name="customer_segment"/>
    <tableColumn id="3" xr3:uid="{00000000-0010-0000-0D00-000003000000}" name="order_year_month"/>
    <tableColumn id="4" xr3:uid="{00000000-0010-0000-0D00-000004000000}" name="records"/>
    <tableColumn id="5" xr3:uid="{00000000-0010-0000-0D00-000005000000}" name="orders"/>
    <tableColumn id="6" xr3:uid="{00000000-0010-0000-0D00-000006000000}" name="units"/>
    <tableColumn id="7" xr3:uid="{00000000-0010-0000-0D00-000007000000}" name="gross_sales"/>
    <tableColumn id="8" xr3:uid="{00000000-0010-0000-0D00-000008000000}" name="net_sales"/>
    <tableColumn id="9" xr3:uid="{00000000-0010-0000-0D00-000009000000}" name="discount"/>
    <tableColumn id="10" xr3:uid="{00000000-0010-0000-0D00-00000A000000}" name="profit"/>
    <tableColumn id="11" xr3:uid="{00000000-0010-0000-0D00-00000B000000}" name="late_records"/>
    <tableColumn id="12" xr3:uid="{00000000-0010-0000-0D00-00000C000000}" name="gross_aov"/>
    <tableColumn id="13" xr3:uid="{00000000-0010-0000-0D00-00000D000000}" name="net_aov"/>
    <tableColumn id="14" xr3:uid="{00000000-0010-0000-0D00-00000E000000}" name="profit_margin_net"/>
    <tableColumn id="15" xr3:uid="{00000000-0010-0000-0D00-00000F000000}" name="late_delivery_rate_row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SourceDataDictionary" displayName="SourceDataDictionary" ref="A5:B57" totalsRowShown="0">
  <tableColumns count="2">
    <tableColumn id="1" xr3:uid="{00000000-0010-0000-0E00-000001000000}" name="FIELDS"/>
    <tableColumn id="2" xr3:uid="{00000000-0010-0000-0E00-000002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7"/>
  <sheetViews>
    <sheetView showGridLines="0" tabSelected="1" zoomScale="79" zoomScaleNormal="82" workbookViewId="0">
      <selection activeCell="Q19" sqref="Q19"/>
    </sheetView>
  </sheetViews>
  <sheetFormatPr defaultRowHeight="13.8"/>
  <cols>
    <col min="1" max="1" width="18" customWidth="1"/>
    <col min="2" max="2" width="14" customWidth="1"/>
    <col min="3" max="3" width="12" customWidth="1"/>
    <col min="4" max="4" width="18" customWidth="1"/>
    <col min="5" max="5" width="14" customWidth="1"/>
    <col min="6" max="14" width="12" customWidth="1"/>
  </cols>
  <sheetData>
    <row r="2" spans="1:14" ht="21">
      <c r="A2" s="12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3"/>
    </row>
    <row r="4" spans="1:14">
      <c r="A4" s="14" t="s">
        <v>1</v>
      </c>
      <c r="B4" s="14" t="s">
        <v>2</v>
      </c>
      <c r="C4" s="14"/>
      <c r="D4" s="14" t="s">
        <v>3</v>
      </c>
      <c r="E4" s="14" t="s">
        <v>2</v>
      </c>
      <c r="G4" s="15"/>
    </row>
    <row r="6" spans="1:14">
      <c r="A6" s="21" t="s">
        <v>4</v>
      </c>
      <c r="B6" s="16"/>
      <c r="C6" s="21" t="s">
        <v>5</v>
      </c>
      <c r="D6" s="16"/>
      <c r="E6" s="21" t="s">
        <v>6</v>
      </c>
      <c r="F6" s="16"/>
      <c r="G6" s="21" t="s">
        <v>7</v>
      </c>
      <c r="H6" s="16"/>
      <c r="I6" s="21" t="s">
        <v>8</v>
      </c>
      <c r="J6" s="16"/>
      <c r="K6" s="21" t="s">
        <v>9</v>
      </c>
      <c r="L6" s="16"/>
    </row>
    <row r="7" spans="1:14" ht="17.399999999999999">
      <c r="A7" s="22">
        <f>SUMIFS('Dashboard Data'!$C$4:'Dashboard Data'!$C$27,'Dashboard Data'!$A$4:'Dashboard Data'!$A$27,$B$4,'Dashboard Data'!$B$4:'Dashboard Data'!$B$27,$E$4)</f>
        <v>180519</v>
      </c>
      <c r="B7" s="18"/>
      <c r="C7" s="22">
        <f>SUMIFS('Dashboard Data'!$D$4:'Dashboard Data'!$D$27,'Dashboard Data'!$A$4:'Dashboard Data'!$A$27,$B$4,'Dashboard Data'!$B$4:'Dashboard Data'!$B$27,$E$4)</f>
        <v>65752</v>
      </c>
      <c r="D7" s="18"/>
      <c r="E7" s="23">
        <f>SUMIFS('Dashboard Data'!$F$4:'Dashboard Data'!$F$27,'Dashboard Data'!$A$4:'Dashboard Data'!$A$27,$B$4,'Dashboard Data'!$B$4:'Dashboard Data'!$B$27,$E$4)</f>
        <v>36784734.310000002</v>
      </c>
      <c r="F7" s="18"/>
      <c r="G7" s="24">
        <f>SUMIFS('Dashboard Data'!$I$4:'Dashboard Data'!$I$27,'Dashboard Data'!$A$4:'Dashboard Data'!$A$27,$B$4,'Dashboard Data'!$B$4:'Dashboard Data'!$B$27,$E$4)</f>
        <v>3966902.97</v>
      </c>
      <c r="H7" s="18"/>
      <c r="I7" s="25">
        <f>IFERROR(SUMIFS('Dashboard Data'!$F$4:'Dashboard Data'!$F$27,'Dashboard Data'!$A$4:'Dashboard Data'!$A$27,$B$4,'Dashboard Data'!$B$4:'Dashboard Data'!$B$27,$E$4)/SUMIFS('Dashboard Data'!$D$4:'Dashboard Data'!$D$27,'Dashboard Data'!$A$4:'Dashboard Data'!$A$27,$B$4,'Dashboard Data'!$B$4:'Dashboard Data'!$B$27,$E$4),0)</f>
        <v>559.44662230806671</v>
      </c>
      <c r="J7" s="18"/>
      <c r="K7" s="26">
        <f>IFERROR(SUMIFS('Dashboard Data'!$J$4:'Dashboard Data'!$J$27,'Dashboard Data'!$A$4:'Dashboard Data'!$A$27,$B$4,'Dashboard Data'!$B$4:'Dashboard Data'!$B$27,$E$4)/SUMIFS('Dashboard Data'!$C$4:'Dashboard Data'!$C$27,'Dashboard Data'!$A$4:'Dashboard Data'!$A$27,$B$4,'Dashboard Data'!$B$4:'Dashboard Data'!$B$27,$E$4),0)</f>
        <v>0.5482913155955883</v>
      </c>
      <c r="L7" s="18"/>
    </row>
    <row r="8" spans="1:14">
      <c r="A8" s="17"/>
      <c r="B8" s="18"/>
      <c r="C8" s="17"/>
      <c r="D8" s="18"/>
      <c r="E8" s="17"/>
      <c r="F8" s="18"/>
      <c r="G8" s="17"/>
      <c r="H8" s="18"/>
      <c r="I8" s="17"/>
      <c r="J8" s="18"/>
      <c r="K8" s="17"/>
      <c r="L8" s="18"/>
    </row>
    <row r="9" spans="1:14">
      <c r="A9" s="19"/>
      <c r="B9" s="20"/>
      <c r="C9" s="19"/>
      <c r="D9" s="20"/>
      <c r="E9" s="19"/>
      <c r="F9" s="20"/>
      <c r="G9" s="19"/>
      <c r="H9" s="20"/>
      <c r="I9" s="19"/>
      <c r="J9" s="20"/>
      <c r="K9" s="19"/>
      <c r="L9" s="20"/>
    </row>
    <row r="63" spans="1:14">
      <c r="A63" s="27" t="s">
        <v>10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</row>
    <row r="64" spans="1:14">
      <c r="A64" s="2" t="s">
        <v>11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2" t="s">
        <v>12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2" t="s">
        <v>13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 t="s">
        <v>14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</sheetData>
  <dataValidations count="2">
    <dataValidation type="list" sqref="B4" xr:uid="{00000000-0002-0000-0000-000000000000}">
      <formula1>"All,Africa,Europe,LATAM,Pacific Asia,USCA"</formula1>
    </dataValidation>
    <dataValidation type="list" sqref="E4" xr:uid="{00000000-0002-0000-0000-000001000000}">
      <formula1>"All,Consumer,Corporate,Home Office"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42"/>
  <sheetViews>
    <sheetView showGridLines="0" workbookViewId="0">
      <pane ySplit="5" topLeftCell="A26" activePane="bottomLeft" state="frozen"/>
      <selection pane="bottomLeft" activeCell="E2" sqref="E2"/>
    </sheetView>
  </sheetViews>
  <sheetFormatPr defaultRowHeight="13.8"/>
  <cols>
    <col min="1" max="1" width="14" customWidth="1"/>
    <col min="2" max="22" width="15" customWidth="1"/>
  </cols>
  <sheetData>
    <row r="2" spans="1:22" ht="21.6" thickBot="1">
      <c r="A2" s="12" t="s">
        <v>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22">
      <c r="A3" s="41" t="s">
        <v>16</v>
      </c>
      <c r="B3" s="41"/>
      <c r="C3" s="41"/>
      <c r="D3" s="41"/>
    </row>
    <row r="5" spans="1:22" ht="26.4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24</v>
      </c>
      <c r="I5" s="4" t="s">
        <v>25</v>
      </c>
      <c r="J5" s="4" t="s">
        <v>26</v>
      </c>
      <c r="K5" s="4" t="s">
        <v>27</v>
      </c>
      <c r="L5" s="5" t="s">
        <v>28</v>
      </c>
      <c r="N5" s="27" t="s">
        <v>29</v>
      </c>
      <c r="O5" s="27"/>
      <c r="P5" s="27"/>
      <c r="Q5" s="27"/>
      <c r="R5" s="27"/>
      <c r="S5" s="27"/>
      <c r="T5" s="27"/>
      <c r="U5" s="27"/>
      <c r="V5" s="27"/>
    </row>
    <row r="6" spans="1:22">
      <c r="A6" s="6" t="s">
        <v>30</v>
      </c>
      <c r="B6" s="6">
        <v>5322</v>
      </c>
      <c r="C6" s="6">
        <v>1787</v>
      </c>
      <c r="D6" s="6">
        <v>11854</v>
      </c>
      <c r="E6" s="28">
        <v>1051590.06</v>
      </c>
      <c r="F6" s="28">
        <v>945382.15</v>
      </c>
      <c r="G6" s="28">
        <v>111660.74</v>
      </c>
      <c r="H6" s="28">
        <v>588.47</v>
      </c>
      <c r="I6" s="30">
        <v>0.11811174983576747</v>
      </c>
      <c r="J6" s="30">
        <v>0.54114994363021418</v>
      </c>
      <c r="K6" s="30"/>
      <c r="L6" s="30"/>
      <c r="N6" s="3" t="s">
        <v>31</v>
      </c>
      <c r="O6" s="4" t="s">
        <v>19</v>
      </c>
      <c r="P6" s="4" t="s">
        <v>21</v>
      </c>
      <c r="Q6" s="4" t="s">
        <v>22</v>
      </c>
      <c r="R6" s="4" t="s">
        <v>23</v>
      </c>
      <c r="S6" s="4" t="s">
        <v>24</v>
      </c>
      <c r="T6" s="4" t="s">
        <v>27</v>
      </c>
      <c r="U6" s="4" t="s">
        <v>28</v>
      </c>
      <c r="V6" s="5" t="s">
        <v>32</v>
      </c>
    </row>
    <row r="7" spans="1:22">
      <c r="A7" s="7" t="s">
        <v>33</v>
      </c>
      <c r="B7" s="7">
        <v>4729</v>
      </c>
      <c r="C7" s="7">
        <v>1585</v>
      </c>
      <c r="D7" s="7">
        <v>10438</v>
      </c>
      <c r="E7" s="29">
        <v>927009.88</v>
      </c>
      <c r="F7" s="29">
        <v>833012.42</v>
      </c>
      <c r="G7" s="29">
        <v>99140.66</v>
      </c>
      <c r="H7" s="29">
        <v>584.86</v>
      </c>
      <c r="I7" s="31">
        <v>0.11901462405566533</v>
      </c>
      <c r="J7" s="31">
        <v>0.54853034468175088</v>
      </c>
      <c r="K7" s="31"/>
      <c r="L7" s="31"/>
      <c r="N7" s="6">
        <v>2015</v>
      </c>
      <c r="O7" s="6">
        <v>20904</v>
      </c>
      <c r="P7" s="28">
        <v>12340831.189999999</v>
      </c>
      <c r="Q7" s="28">
        <v>11089543.43</v>
      </c>
      <c r="R7" s="28">
        <v>1318856.8999999999</v>
      </c>
      <c r="S7" s="28">
        <v>590.36</v>
      </c>
      <c r="T7" s="30"/>
      <c r="U7" s="30"/>
      <c r="V7" s="6" t="s">
        <v>34</v>
      </c>
    </row>
    <row r="8" spans="1:22">
      <c r="A8" s="7" t="s">
        <v>35</v>
      </c>
      <c r="B8" s="7">
        <v>5362</v>
      </c>
      <c r="C8" s="7">
        <v>1781</v>
      </c>
      <c r="D8" s="7">
        <v>12062</v>
      </c>
      <c r="E8" s="29">
        <v>1051253.67</v>
      </c>
      <c r="F8" s="29">
        <v>944050.1</v>
      </c>
      <c r="G8" s="29">
        <v>113778.21</v>
      </c>
      <c r="H8" s="29">
        <v>590.26</v>
      </c>
      <c r="I8" s="31">
        <v>0.1205213685163531</v>
      </c>
      <c r="J8" s="31">
        <v>0.54755688176053707</v>
      </c>
      <c r="K8" s="31"/>
      <c r="L8" s="31"/>
      <c r="N8" s="7">
        <v>2016</v>
      </c>
      <c r="O8" s="7">
        <v>20859</v>
      </c>
      <c r="P8" s="29">
        <v>12303817.08</v>
      </c>
      <c r="Q8" s="29">
        <v>11055996.640000001</v>
      </c>
      <c r="R8" s="29">
        <v>1310119.07</v>
      </c>
      <c r="S8" s="29">
        <v>589.86</v>
      </c>
      <c r="T8" s="31">
        <v>-2.9993206640727132E-3</v>
      </c>
      <c r="U8" s="31">
        <v>-6.6253055960808771E-3</v>
      </c>
      <c r="V8" s="7" t="s">
        <v>34</v>
      </c>
    </row>
    <row r="9" spans="1:22">
      <c r="A9" s="7" t="s">
        <v>36</v>
      </c>
      <c r="B9" s="7">
        <v>5126</v>
      </c>
      <c r="C9" s="7">
        <v>1710</v>
      </c>
      <c r="D9" s="7">
        <v>11287</v>
      </c>
      <c r="E9" s="29">
        <v>1014463.26</v>
      </c>
      <c r="F9" s="29">
        <v>912004.39</v>
      </c>
      <c r="G9" s="29">
        <v>108083.68</v>
      </c>
      <c r="H9" s="29">
        <v>593.25</v>
      </c>
      <c r="I9" s="31">
        <v>0.11851223654745784</v>
      </c>
      <c r="J9" s="31">
        <v>0.53843152555598905</v>
      </c>
      <c r="K9" s="31"/>
      <c r="L9" s="31"/>
      <c r="N9" s="7">
        <v>2017</v>
      </c>
      <c r="O9" s="7">
        <v>21866</v>
      </c>
      <c r="P9" s="29">
        <v>11808435.93</v>
      </c>
      <c r="Q9" s="29">
        <v>10610909.92</v>
      </c>
      <c r="R9" s="29">
        <v>1304085.1100000001</v>
      </c>
      <c r="S9" s="29">
        <v>540.04</v>
      </c>
      <c r="T9" s="31">
        <v>-4.0262395545952012E-2</v>
      </c>
      <c r="U9" s="31">
        <v>-4.6056577132336241E-3</v>
      </c>
      <c r="V9" s="7" t="s">
        <v>34</v>
      </c>
    </row>
    <row r="10" spans="1:22">
      <c r="A10" s="7" t="s">
        <v>37</v>
      </c>
      <c r="B10" s="7">
        <v>5357</v>
      </c>
      <c r="C10" s="7">
        <v>1776</v>
      </c>
      <c r="D10" s="7">
        <v>11902</v>
      </c>
      <c r="E10" s="29">
        <v>1050478.42</v>
      </c>
      <c r="F10" s="29">
        <v>943939.76</v>
      </c>
      <c r="G10" s="29">
        <v>112147.9</v>
      </c>
      <c r="H10" s="29">
        <v>591.49</v>
      </c>
      <c r="I10" s="31">
        <v>0.11880832310739829</v>
      </c>
      <c r="J10" s="31">
        <v>0.55086802314728389</v>
      </c>
      <c r="K10" s="31"/>
      <c r="L10" s="31"/>
      <c r="N10" s="7">
        <v>2018</v>
      </c>
      <c r="O10" s="7">
        <v>2123</v>
      </c>
      <c r="P10" s="29">
        <v>331650.11</v>
      </c>
      <c r="Q10" s="29">
        <v>297952.05</v>
      </c>
      <c r="R10" s="29">
        <v>33841.89</v>
      </c>
      <c r="S10" s="29">
        <v>156.22</v>
      </c>
      <c r="T10" s="31">
        <v>-0.97191413731962384</v>
      </c>
      <c r="U10" s="31">
        <v>-0.97404932412731871</v>
      </c>
      <c r="V10" s="7" t="s">
        <v>38</v>
      </c>
    </row>
    <row r="11" spans="1:22">
      <c r="A11" s="7" t="s">
        <v>39</v>
      </c>
      <c r="B11" s="7">
        <v>5134</v>
      </c>
      <c r="C11" s="7">
        <v>1725</v>
      </c>
      <c r="D11" s="7">
        <v>11203</v>
      </c>
      <c r="E11" s="29">
        <v>1024006.15</v>
      </c>
      <c r="F11" s="29">
        <v>920242.05</v>
      </c>
      <c r="G11" s="29">
        <v>110147.16</v>
      </c>
      <c r="H11" s="29">
        <v>593.63</v>
      </c>
      <c r="I11" s="31">
        <v>0.11969368276531159</v>
      </c>
      <c r="J11" s="31">
        <v>0.54109855862874956</v>
      </c>
      <c r="K11" s="31"/>
      <c r="L11" s="31"/>
    </row>
    <row r="12" spans="1:22">
      <c r="A12" s="7" t="s">
        <v>40</v>
      </c>
      <c r="B12" s="7">
        <v>5299</v>
      </c>
      <c r="C12" s="7">
        <v>1763</v>
      </c>
      <c r="D12" s="7">
        <v>11800</v>
      </c>
      <c r="E12" s="29">
        <v>1038081.17</v>
      </c>
      <c r="F12" s="29">
        <v>932936.78</v>
      </c>
      <c r="G12" s="29">
        <v>115624.06</v>
      </c>
      <c r="H12" s="29">
        <v>588.82000000000005</v>
      </c>
      <c r="I12" s="31">
        <v>0.12393557900032626</v>
      </c>
      <c r="J12" s="31">
        <v>0.55463294961313458</v>
      </c>
      <c r="K12" s="31"/>
      <c r="L12" s="31"/>
    </row>
    <row r="13" spans="1:22">
      <c r="A13" s="7" t="s">
        <v>41</v>
      </c>
      <c r="B13" s="7">
        <v>5273</v>
      </c>
      <c r="C13" s="7">
        <v>1762</v>
      </c>
      <c r="D13" s="7">
        <v>11612</v>
      </c>
      <c r="E13" s="29">
        <v>1029494.67</v>
      </c>
      <c r="F13" s="29">
        <v>925192.86</v>
      </c>
      <c r="G13" s="29">
        <v>117979.77</v>
      </c>
      <c r="H13" s="29">
        <v>584.28</v>
      </c>
      <c r="I13" s="31">
        <v>0.12751910990752782</v>
      </c>
      <c r="J13" s="31">
        <v>0.55679878626967572</v>
      </c>
      <c r="K13" s="31"/>
      <c r="L13" s="31"/>
    </row>
    <row r="14" spans="1:22">
      <c r="A14" s="7" t="s">
        <v>42</v>
      </c>
      <c r="B14" s="7">
        <v>5140</v>
      </c>
      <c r="C14" s="7">
        <v>1706</v>
      </c>
      <c r="D14" s="7">
        <v>11366</v>
      </c>
      <c r="E14" s="29">
        <v>1018338.58</v>
      </c>
      <c r="F14" s="29">
        <v>914522.36</v>
      </c>
      <c r="G14" s="29">
        <v>113467.94</v>
      </c>
      <c r="H14" s="29">
        <v>596.91999999999996</v>
      </c>
      <c r="I14" s="31">
        <v>0.12407344529006377</v>
      </c>
      <c r="J14" s="31">
        <v>0.56692607003891049</v>
      </c>
      <c r="K14" s="31"/>
      <c r="L14" s="31"/>
    </row>
    <row r="15" spans="1:22">
      <c r="A15" s="7" t="s">
        <v>43</v>
      </c>
      <c r="B15" s="7">
        <v>5302</v>
      </c>
      <c r="C15" s="7">
        <v>1775</v>
      </c>
      <c r="D15" s="7">
        <v>11703</v>
      </c>
      <c r="E15" s="29">
        <v>1049154.25</v>
      </c>
      <c r="F15" s="29">
        <v>943131.09</v>
      </c>
      <c r="G15" s="29">
        <v>101757.87</v>
      </c>
      <c r="H15" s="29">
        <v>591.07000000000005</v>
      </c>
      <c r="I15" s="31">
        <v>0.10789366513195954</v>
      </c>
      <c r="J15" s="31">
        <v>0.54809505846850248</v>
      </c>
      <c r="K15" s="31"/>
      <c r="L15" s="31"/>
    </row>
    <row r="16" spans="1:22">
      <c r="A16" s="7" t="s">
        <v>44</v>
      </c>
      <c r="B16" s="7">
        <v>5235</v>
      </c>
      <c r="C16" s="7">
        <v>1729</v>
      </c>
      <c r="D16" s="7">
        <v>11463</v>
      </c>
      <c r="E16" s="29">
        <v>1029120.22</v>
      </c>
      <c r="F16" s="29">
        <v>924602.56</v>
      </c>
      <c r="G16" s="29">
        <v>104427.36</v>
      </c>
      <c r="H16" s="29">
        <v>595.21</v>
      </c>
      <c r="I16" s="31">
        <v>0.11294297086955934</v>
      </c>
      <c r="J16" s="31">
        <v>0.54269340974212033</v>
      </c>
      <c r="K16" s="31"/>
      <c r="L16" s="31"/>
    </row>
    <row r="17" spans="1:12">
      <c r="A17" s="7" t="s">
        <v>45</v>
      </c>
      <c r="B17" s="7">
        <v>5371</v>
      </c>
      <c r="C17" s="7">
        <v>1805</v>
      </c>
      <c r="D17" s="7">
        <v>11790</v>
      </c>
      <c r="E17" s="29">
        <v>1057840.8600000001</v>
      </c>
      <c r="F17" s="29">
        <v>950526.91</v>
      </c>
      <c r="G17" s="29">
        <v>110641.55</v>
      </c>
      <c r="H17" s="29">
        <v>586.05999999999995</v>
      </c>
      <c r="I17" s="31">
        <v>0.11640022900561542</v>
      </c>
      <c r="J17" s="31">
        <v>0.54682554459132382</v>
      </c>
      <c r="K17" s="31"/>
      <c r="L17" s="31"/>
    </row>
    <row r="18" spans="1:12">
      <c r="A18" s="7" t="s">
        <v>46</v>
      </c>
      <c r="B18" s="7">
        <v>5317</v>
      </c>
      <c r="C18" s="7">
        <v>1772</v>
      </c>
      <c r="D18" s="7">
        <v>11597</v>
      </c>
      <c r="E18" s="29">
        <v>1046308.23</v>
      </c>
      <c r="F18" s="29">
        <v>940283.62</v>
      </c>
      <c r="G18" s="29">
        <v>106780.95</v>
      </c>
      <c r="H18" s="29">
        <v>590.47</v>
      </c>
      <c r="I18" s="31">
        <v>0.1135624908578116</v>
      </c>
      <c r="J18" s="31">
        <v>0.55576452886966332</v>
      </c>
      <c r="K18" s="31">
        <v>-5.0227081834531839E-3</v>
      </c>
      <c r="L18" s="31">
        <v>-4.3701931404001138E-2</v>
      </c>
    </row>
    <row r="19" spans="1:12">
      <c r="A19" s="7" t="s">
        <v>47</v>
      </c>
      <c r="B19" s="7">
        <v>4894</v>
      </c>
      <c r="C19" s="7">
        <v>1650</v>
      </c>
      <c r="D19" s="7">
        <v>10765</v>
      </c>
      <c r="E19" s="29">
        <v>968542.83</v>
      </c>
      <c r="F19" s="29">
        <v>870116.74</v>
      </c>
      <c r="G19" s="29">
        <v>86809.49</v>
      </c>
      <c r="H19" s="29">
        <v>587</v>
      </c>
      <c r="I19" s="31">
        <v>9.9767635777240654E-2</v>
      </c>
      <c r="J19" s="31">
        <v>0.5414793624846751</v>
      </c>
      <c r="K19" s="31">
        <v>4.4803136294512713E-2</v>
      </c>
      <c r="L19" s="31">
        <v>-0.12438055183413144</v>
      </c>
    </row>
    <row r="20" spans="1:12">
      <c r="A20" s="7" t="s">
        <v>48</v>
      </c>
      <c r="B20" s="7">
        <v>5210</v>
      </c>
      <c r="C20" s="7">
        <v>1764</v>
      </c>
      <c r="D20" s="7">
        <v>11349</v>
      </c>
      <c r="E20" s="29">
        <v>1025853.1</v>
      </c>
      <c r="F20" s="29">
        <v>921487.72</v>
      </c>
      <c r="G20" s="29">
        <v>101259.99</v>
      </c>
      <c r="H20" s="29">
        <v>581.54999999999995</v>
      </c>
      <c r="I20" s="31">
        <v>0.10988750886446974</v>
      </c>
      <c r="J20" s="31">
        <v>0.55758157389635321</v>
      </c>
      <c r="K20" s="31">
        <v>-2.4162170106859171E-2</v>
      </c>
      <c r="L20" s="31">
        <v>-0.1100230000102832</v>
      </c>
    </row>
    <row r="21" spans="1:12">
      <c r="A21" s="7" t="s">
        <v>49</v>
      </c>
      <c r="B21" s="7">
        <v>5097</v>
      </c>
      <c r="C21" s="7">
        <v>1706</v>
      </c>
      <c r="D21" s="7">
        <v>11208</v>
      </c>
      <c r="E21" s="29">
        <v>1001211.56</v>
      </c>
      <c r="F21" s="29">
        <v>900492.91</v>
      </c>
      <c r="G21" s="29">
        <v>114976.62</v>
      </c>
      <c r="H21" s="29">
        <v>586.88</v>
      </c>
      <c r="I21" s="31">
        <v>0.12768187147636731</v>
      </c>
      <c r="J21" s="31">
        <v>0.5522856582303316</v>
      </c>
      <c r="K21" s="31">
        <v>-1.3062769764574766E-2</v>
      </c>
      <c r="L21" s="31">
        <v>6.3774105396855463E-2</v>
      </c>
    </row>
    <row r="22" spans="1:12">
      <c r="A22" s="7" t="s">
        <v>50</v>
      </c>
      <c r="B22" s="7">
        <v>5302</v>
      </c>
      <c r="C22" s="7">
        <v>1763</v>
      </c>
      <c r="D22" s="7">
        <v>11603</v>
      </c>
      <c r="E22" s="29">
        <v>1029400.18</v>
      </c>
      <c r="F22" s="29">
        <v>924978.21</v>
      </c>
      <c r="G22" s="29">
        <v>110716.12</v>
      </c>
      <c r="H22" s="29">
        <v>583.89</v>
      </c>
      <c r="I22" s="31">
        <v>0.11969592235043029</v>
      </c>
      <c r="J22" s="31">
        <v>0.55658242172764993</v>
      </c>
      <c r="K22" s="31">
        <v>-2.0065371737955195E-2</v>
      </c>
      <c r="L22" s="31">
        <v>-1.276689086465288E-2</v>
      </c>
    </row>
    <row r="23" spans="1:12">
      <c r="A23" s="7" t="s">
        <v>51</v>
      </c>
      <c r="B23" s="7">
        <v>5054</v>
      </c>
      <c r="C23" s="7">
        <v>1690</v>
      </c>
      <c r="D23" s="7">
        <v>11008</v>
      </c>
      <c r="E23" s="29">
        <v>1003059.53</v>
      </c>
      <c r="F23" s="29">
        <v>901448</v>
      </c>
      <c r="G23" s="29">
        <v>104196.07</v>
      </c>
      <c r="H23" s="29">
        <v>593.53</v>
      </c>
      <c r="I23" s="31">
        <v>0.11558744375715516</v>
      </c>
      <c r="J23" s="31">
        <v>0.56846062524732888</v>
      </c>
      <c r="K23" s="31">
        <v>-2.0455560740528789E-2</v>
      </c>
      <c r="L23" s="31">
        <v>-5.4028537821583345E-2</v>
      </c>
    </row>
    <row r="24" spans="1:12">
      <c r="A24" s="7" t="s">
        <v>52</v>
      </c>
      <c r="B24" s="7">
        <v>5305</v>
      </c>
      <c r="C24" s="7">
        <v>1758</v>
      </c>
      <c r="D24" s="7">
        <v>11652</v>
      </c>
      <c r="E24" s="29">
        <v>1045715.6</v>
      </c>
      <c r="F24" s="29">
        <v>939216.39</v>
      </c>
      <c r="G24" s="29">
        <v>119941.72</v>
      </c>
      <c r="H24" s="29">
        <v>594.83000000000004</v>
      </c>
      <c r="I24" s="31">
        <v>0.12770403208146741</v>
      </c>
      <c r="J24" s="31">
        <v>0.51932139491046181</v>
      </c>
      <c r="K24" s="31">
        <v>7.3543670963609475E-3</v>
      </c>
      <c r="L24" s="31">
        <v>3.7342227906544734E-2</v>
      </c>
    </row>
    <row r="25" spans="1:12">
      <c r="A25" s="7" t="s">
        <v>53</v>
      </c>
      <c r="B25" s="7">
        <v>5334</v>
      </c>
      <c r="C25" s="7">
        <v>1766</v>
      </c>
      <c r="D25" s="7">
        <v>11683</v>
      </c>
      <c r="E25" s="29">
        <v>1048200.23</v>
      </c>
      <c r="F25" s="29">
        <v>942408.93</v>
      </c>
      <c r="G25" s="29">
        <v>110729.54</v>
      </c>
      <c r="H25" s="29">
        <v>593.54</v>
      </c>
      <c r="I25" s="31">
        <v>0.11749627627149076</v>
      </c>
      <c r="J25" s="31">
        <v>0.55268091488563931</v>
      </c>
      <c r="K25" s="31">
        <v>1.8169652107086653E-2</v>
      </c>
      <c r="L25" s="31">
        <v>-6.1453162690518925E-2</v>
      </c>
    </row>
    <row r="26" spans="1:12">
      <c r="A26" s="7" t="s">
        <v>54</v>
      </c>
      <c r="B26" s="7">
        <v>5160</v>
      </c>
      <c r="C26" s="7">
        <v>1730</v>
      </c>
      <c r="D26" s="7">
        <v>11284</v>
      </c>
      <c r="E26" s="29">
        <v>1002397.02</v>
      </c>
      <c r="F26" s="29">
        <v>900371.62</v>
      </c>
      <c r="G26" s="29">
        <v>123384.71</v>
      </c>
      <c r="H26" s="29">
        <v>579.41999999999996</v>
      </c>
      <c r="I26" s="31">
        <v>0.13703753790018394</v>
      </c>
      <c r="J26" s="31">
        <v>0.54980620155038762</v>
      </c>
      <c r="K26" s="31">
        <v>-1.5654479082978456E-2</v>
      </c>
      <c r="L26" s="31">
        <v>8.7397109703410525E-2</v>
      </c>
    </row>
    <row r="27" spans="1:12">
      <c r="A27" s="7" t="s">
        <v>55</v>
      </c>
      <c r="B27" s="7">
        <v>5398</v>
      </c>
      <c r="C27" s="7">
        <v>1776</v>
      </c>
      <c r="D27" s="7">
        <v>11936</v>
      </c>
      <c r="E27" s="29">
        <v>1048130.53</v>
      </c>
      <c r="F27" s="29">
        <v>941882.27</v>
      </c>
      <c r="G27" s="29">
        <v>116781.97</v>
      </c>
      <c r="H27" s="29">
        <v>590.16</v>
      </c>
      <c r="I27" s="31">
        <v>0.12398786315406489</v>
      </c>
      <c r="J27" s="31">
        <v>0.54779547980733601</v>
      </c>
      <c r="K27" s="31">
        <v>-9.7575737790700501E-4</v>
      </c>
      <c r="L27" s="31">
        <v>0.14764558259719873</v>
      </c>
    </row>
    <row r="28" spans="1:12">
      <c r="A28" s="7" t="s">
        <v>56</v>
      </c>
      <c r="B28" s="7">
        <v>5210</v>
      </c>
      <c r="C28" s="7">
        <v>1721</v>
      </c>
      <c r="D28" s="7">
        <v>11493</v>
      </c>
      <c r="E28" s="29">
        <v>1047590.12</v>
      </c>
      <c r="F28" s="29">
        <v>941197.35</v>
      </c>
      <c r="G28" s="29">
        <v>109539.2</v>
      </c>
      <c r="H28" s="29">
        <v>608.71</v>
      </c>
      <c r="I28" s="31">
        <v>0.11638281811991927</v>
      </c>
      <c r="J28" s="31">
        <v>0.54625719769673708</v>
      </c>
      <c r="K28" s="31">
        <v>1.7947271505364126E-2</v>
      </c>
      <c r="L28" s="31">
        <v>4.8951156095490722E-2</v>
      </c>
    </row>
    <row r="29" spans="1:12">
      <c r="A29" s="7" t="s">
        <v>57</v>
      </c>
      <c r="B29" s="7">
        <v>5269</v>
      </c>
      <c r="C29" s="7">
        <v>1763</v>
      </c>
      <c r="D29" s="7">
        <v>11774</v>
      </c>
      <c r="E29" s="29">
        <v>1037408.15</v>
      </c>
      <c r="F29" s="29">
        <v>932112.88</v>
      </c>
      <c r="G29" s="29">
        <v>105002.69</v>
      </c>
      <c r="H29" s="29">
        <v>588.42999999999995</v>
      </c>
      <c r="I29" s="31">
        <v>0.11265018674562248</v>
      </c>
      <c r="J29" s="31">
        <v>0.56063769216170056</v>
      </c>
      <c r="K29" s="31">
        <v>-1.931548569602437E-2</v>
      </c>
      <c r="L29" s="31">
        <v>-5.0965121150236992E-2</v>
      </c>
    </row>
    <row r="30" spans="1:12">
      <c r="A30" s="7" t="s">
        <v>58</v>
      </c>
      <c r="B30" s="7">
        <v>5217</v>
      </c>
      <c r="C30" s="7">
        <v>1745</v>
      </c>
      <c r="D30" s="7">
        <v>11605</v>
      </c>
      <c r="E30" s="29">
        <v>1029698</v>
      </c>
      <c r="F30" s="29">
        <v>925472.61</v>
      </c>
      <c r="G30" s="29">
        <v>114843.85</v>
      </c>
      <c r="H30" s="29">
        <v>590.08000000000004</v>
      </c>
      <c r="I30" s="31">
        <v>0.12409211116469455</v>
      </c>
      <c r="J30" s="31">
        <v>0.53613187655740846</v>
      </c>
      <c r="K30" s="31">
        <v>-1.5875083004938229E-2</v>
      </c>
      <c r="L30" s="31">
        <v>7.550878691377072E-2</v>
      </c>
    </row>
    <row r="31" spans="1:12">
      <c r="A31" s="7" t="s">
        <v>59</v>
      </c>
      <c r="B31" s="7">
        <v>4906</v>
      </c>
      <c r="C31" s="7">
        <v>1614</v>
      </c>
      <c r="D31" s="7">
        <v>11070</v>
      </c>
      <c r="E31" s="29">
        <v>992534.88</v>
      </c>
      <c r="F31" s="29">
        <v>891924.28</v>
      </c>
      <c r="G31" s="29">
        <v>115111.07</v>
      </c>
      <c r="H31" s="29">
        <v>614.95000000000005</v>
      </c>
      <c r="I31" s="31">
        <v>0.12905924032026575</v>
      </c>
      <c r="J31" s="31">
        <v>0.5466775377089278</v>
      </c>
      <c r="K31" s="31">
        <v>2.4771284507882907E-2</v>
      </c>
      <c r="L31" s="31">
        <v>0.3260194248347732</v>
      </c>
    </row>
    <row r="32" spans="1:12">
      <c r="A32" s="7" t="s">
        <v>60</v>
      </c>
      <c r="B32" s="7">
        <v>5347</v>
      </c>
      <c r="C32" s="7">
        <v>1782</v>
      </c>
      <c r="D32" s="7">
        <v>11676</v>
      </c>
      <c r="E32" s="29">
        <v>1048004.76</v>
      </c>
      <c r="F32" s="29">
        <v>942290.42</v>
      </c>
      <c r="G32" s="29">
        <v>118688.9</v>
      </c>
      <c r="H32" s="29">
        <v>588.11</v>
      </c>
      <c r="I32" s="31">
        <v>0.12595787612910253</v>
      </c>
      <c r="J32" s="31">
        <v>0.55264634374415555</v>
      </c>
      <c r="K32" s="31">
        <v>2.1593403577958803E-2</v>
      </c>
      <c r="L32" s="31">
        <v>0.17212040016989927</v>
      </c>
    </row>
    <row r="33" spans="1:12">
      <c r="A33" s="7" t="s">
        <v>61</v>
      </c>
      <c r="B33" s="7">
        <v>5212</v>
      </c>
      <c r="C33" s="7">
        <v>1739</v>
      </c>
      <c r="D33" s="7">
        <v>11189</v>
      </c>
      <c r="E33" s="29">
        <v>1038321.6</v>
      </c>
      <c r="F33" s="29">
        <v>932318.19</v>
      </c>
      <c r="G33" s="29">
        <v>115961.06</v>
      </c>
      <c r="H33" s="29">
        <v>597.08000000000004</v>
      </c>
      <c r="I33" s="31">
        <v>0.12437927441917655</v>
      </c>
      <c r="J33" s="31">
        <v>0.53779739063699161</v>
      </c>
      <c r="K33" s="31">
        <v>3.7065133367017777E-2</v>
      </c>
      <c r="L33" s="31">
        <v>8.5620885359127819E-3</v>
      </c>
    </row>
    <row r="34" spans="1:12">
      <c r="A34" s="7" t="s">
        <v>62</v>
      </c>
      <c r="B34" s="7">
        <v>5317</v>
      </c>
      <c r="C34" s="7">
        <v>1763</v>
      </c>
      <c r="D34" s="7">
        <v>11033</v>
      </c>
      <c r="E34" s="29">
        <v>1105485.3</v>
      </c>
      <c r="F34" s="29">
        <v>993199.04</v>
      </c>
      <c r="G34" s="29">
        <v>115014.64</v>
      </c>
      <c r="H34" s="29">
        <v>627.04999999999995</v>
      </c>
      <c r="I34" s="31">
        <v>0.11580220617208813</v>
      </c>
      <c r="J34" s="31">
        <v>0.53470001880759832</v>
      </c>
      <c r="K34" s="31">
        <v>7.3912091214128228E-2</v>
      </c>
      <c r="L34" s="31">
        <v>3.8824698697895066E-2</v>
      </c>
    </row>
    <row r="35" spans="1:12">
      <c r="A35" s="7" t="s">
        <v>63</v>
      </c>
      <c r="B35" s="7">
        <v>4951</v>
      </c>
      <c r="C35" s="7">
        <v>1676</v>
      </c>
      <c r="D35" s="7">
        <v>10194</v>
      </c>
      <c r="E35" s="29">
        <v>1032086.47</v>
      </c>
      <c r="F35" s="29">
        <v>927445.96</v>
      </c>
      <c r="G35" s="29">
        <v>110399.29</v>
      </c>
      <c r="H35" s="29">
        <v>615.79999999999995</v>
      </c>
      <c r="I35" s="31">
        <v>0.11903581961799693</v>
      </c>
      <c r="J35" s="31">
        <v>0.53504342557059181</v>
      </c>
      <c r="K35" s="31">
        <v>2.8938402090651572E-2</v>
      </c>
      <c r="L35" s="31">
        <v>5.9534107188495611E-2</v>
      </c>
    </row>
    <row r="36" spans="1:12">
      <c r="A36" s="7" t="s">
        <v>64</v>
      </c>
      <c r="B36" s="7">
        <v>5318</v>
      </c>
      <c r="C36" s="7">
        <v>1776</v>
      </c>
      <c r="D36" s="7">
        <v>11091</v>
      </c>
      <c r="E36" s="29">
        <v>1104373.3400000001</v>
      </c>
      <c r="F36" s="29">
        <v>992423.42</v>
      </c>
      <c r="G36" s="29">
        <v>113026.7</v>
      </c>
      <c r="H36" s="29">
        <v>621.83000000000004</v>
      </c>
      <c r="I36" s="31">
        <v>0.11388959361720825</v>
      </c>
      <c r="J36" s="31">
        <v>0.54776231666039865</v>
      </c>
      <c r="K36" s="31">
        <v>5.6093396713217336E-2</v>
      </c>
      <c r="L36" s="31">
        <v>-5.7653166888051999E-2</v>
      </c>
    </row>
    <row r="37" spans="1:12">
      <c r="A37" s="7" t="s">
        <v>65</v>
      </c>
      <c r="B37" s="7">
        <v>5305</v>
      </c>
      <c r="C37" s="7">
        <v>1768</v>
      </c>
      <c r="D37" s="7">
        <v>11095</v>
      </c>
      <c r="E37" s="29">
        <v>1109337.1499999999</v>
      </c>
      <c r="F37" s="29">
        <v>996507.87</v>
      </c>
      <c r="G37" s="29">
        <v>131501.16</v>
      </c>
      <c r="H37" s="29">
        <v>627.45000000000005</v>
      </c>
      <c r="I37" s="31">
        <v>0.13196198841861631</v>
      </c>
      <c r="J37" s="31">
        <v>0.56437323279924601</v>
      </c>
      <c r="K37" s="31">
        <v>5.8325612082722023E-2</v>
      </c>
      <c r="L37" s="31">
        <v>0.18758878615408325</v>
      </c>
    </row>
    <row r="38" spans="1:12">
      <c r="A38" s="7" t="s">
        <v>66</v>
      </c>
      <c r="B38" s="7">
        <v>5189</v>
      </c>
      <c r="C38" s="7">
        <v>1723</v>
      </c>
      <c r="D38" s="7">
        <v>10502</v>
      </c>
      <c r="E38" s="29">
        <v>1143775.0900000001</v>
      </c>
      <c r="F38" s="29">
        <v>1027111.72</v>
      </c>
      <c r="G38" s="29">
        <v>122462.39</v>
      </c>
      <c r="H38" s="29">
        <v>663.83</v>
      </c>
      <c r="I38" s="31">
        <v>0.11922986332976514</v>
      </c>
      <c r="J38" s="31">
        <v>0.5423010213914049</v>
      </c>
      <c r="K38" s="31">
        <v>0.14103999431283221</v>
      </c>
      <c r="L38" s="31">
        <v>-7.4751563625672368E-3</v>
      </c>
    </row>
    <row r="39" spans="1:12">
      <c r="A39" s="7" t="s">
        <v>67</v>
      </c>
      <c r="B39" s="7">
        <v>2255</v>
      </c>
      <c r="C39" s="7">
        <v>2101</v>
      </c>
      <c r="D39" s="7">
        <v>2490</v>
      </c>
      <c r="E39" s="29">
        <v>1073994.1599999999</v>
      </c>
      <c r="F39" s="29">
        <v>966081.41</v>
      </c>
      <c r="G39" s="29">
        <v>113447.17</v>
      </c>
      <c r="H39" s="29">
        <v>511.18</v>
      </c>
      <c r="I39" s="31">
        <v>0.11743023809970632</v>
      </c>
      <c r="J39" s="31">
        <v>0.53658536585365857</v>
      </c>
      <c r="K39" s="31">
        <v>2.4675962830698062E-2</v>
      </c>
      <c r="L39" s="31">
        <v>-2.855577791674524E-2</v>
      </c>
    </row>
    <row r="40" spans="1:12">
      <c r="A40" s="7" t="s">
        <v>68</v>
      </c>
      <c r="B40" s="7">
        <v>2055</v>
      </c>
      <c r="C40" s="7">
        <v>2055</v>
      </c>
      <c r="D40" s="7">
        <v>2055</v>
      </c>
      <c r="E40" s="29">
        <v>626914.37</v>
      </c>
      <c r="F40" s="29">
        <v>563393.47</v>
      </c>
      <c r="G40" s="29">
        <v>67791.25</v>
      </c>
      <c r="H40" s="29">
        <v>305.07</v>
      </c>
      <c r="I40" s="31">
        <v>0.12032665199332183</v>
      </c>
      <c r="J40" s="31">
        <v>0.55085158150851576</v>
      </c>
      <c r="K40" s="31">
        <v>-0.40156521331071737</v>
      </c>
      <c r="L40" s="31">
        <v>-0.3811233786626157</v>
      </c>
    </row>
    <row r="41" spans="1:12">
      <c r="A41" s="7" t="s">
        <v>69</v>
      </c>
      <c r="B41" s="7">
        <v>2124</v>
      </c>
      <c r="C41" s="7">
        <v>2124</v>
      </c>
      <c r="D41" s="7">
        <v>2124</v>
      </c>
      <c r="E41" s="29">
        <v>503910.81</v>
      </c>
      <c r="F41" s="29">
        <v>452741.53</v>
      </c>
      <c r="G41" s="29">
        <v>65837.63</v>
      </c>
      <c r="H41" s="29">
        <v>237.25</v>
      </c>
      <c r="I41" s="31">
        <v>0.14541990437678645</v>
      </c>
      <c r="J41" s="31">
        <v>0.55178907721280601</v>
      </c>
      <c r="K41" s="31">
        <v>-0.5142598310992641</v>
      </c>
      <c r="L41" s="31">
        <v>-0.37299101575397731</v>
      </c>
    </row>
    <row r="42" spans="1:12">
      <c r="A42" s="7" t="s">
        <v>70</v>
      </c>
      <c r="B42" s="7">
        <v>2123</v>
      </c>
      <c r="C42" s="7">
        <v>2123</v>
      </c>
      <c r="D42" s="7">
        <v>2123</v>
      </c>
      <c r="E42" s="29">
        <v>331650.11</v>
      </c>
      <c r="F42" s="29">
        <v>297952.05</v>
      </c>
      <c r="G42" s="29">
        <v>33841.89</v>
      </c>
      <c r="H42" s="29">
        <v>156.22</v>
      </c>
      <c r="I42" s="31">
        <v>0.11358166523774547</v>
      </c>
      <c r="J42" s="31">
        <v>0.56288271314178051</v>
      </c>
      <c r="K42" s="31">
        <v>-0.67791516541743313</v>
      </c>
      <c r="L42" s="31">
        <v>-0.70532257495721362</v>
      </c>
    </row>
  </sheetData>
  <mergeCells count="1">
    <mergeCell ref="A3:D3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6"/>
  <sheetViews>
    <sheetView showGridLines="0" workbookViewId="0">
      <pane ySplit="5" topLeftCell="A31" activePane="bottomLeft" state="frozen"/>
      <selection pane="bottomLeft" activeCell="A3" sqref="A3:D3"/>
    </sheetView>
  </sheetViews>
  <sheetFormatPr defaultRowHeight="13.8"/>
  <cols>
    <col min="1" max="1" width="20" customWidth="1"/>
    <col min="2" max="13" width="15" customWidth="1"/>
  </cols>
  <sheetData>
    <row r="2" spans="1:14" ht="21.6" thickBot="1">
      <c r="A2" s="12" t="s">
        <v>71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42" t="s">
        <v>72</v>
      </c>
      <c r="B3" s="42"/>
      <c r="C3" s="42"/>
      <c r="D3" s="42"/>
    </row>
    <row r="5" spans="1:14">
      <c r="A5" s="27" t="s">
        <v>73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</row>
    <row r="6" spans="1:14" ht="26.4">
      <c r="A6" s="3" t="s">
        <v>74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75</v>
      </c>
      <c r="H6" s="4" t="s">
        <v>23</v>
      </c>
      <c r="I6" s="4" t="s">
        <v>24</v>
      </c>
      <c r="J6" s="4" t="s">
        <v>76</v>
      </c>
      <c r="K6" s="4" t="s">
        <v>25</v>
      </c>
      <c r="L6" s="5" t="s">
        <v>26</v>
      </c>
    </row>
    <row r="7" spans="1:14">
      <c r="A7" s="6" t="s">
        <v>77</v>
      </c>
      <c r="B7" s="6">
        <v>93504</v>
      </c>
      <c r="C7" s="6">
        <v>34119</v>
      </c>
      <c r="D7" s="6">
        <v>199234</v>
      </c>
      <c r="E7" s="28">
        <v>19095789.789999999</v>
      </c>
      <c r="F7" s="28">
        <v>17164278.190000001</v>
      </c>
      <c r="G7" s="28">
        <v>1931535.7</v>
      </c>
      <c r="H7" s="28">
        <v>2073487.67</v>
      </c>
      <c r="I7" s="28">
        <v>559.67999999999995</v>
      </c>
      <c r="J7" s="28">
        <v>503.07</v>
      </c>
      <c r="K7" s="30">
        <v>0.12080249731724954</v>
      </c>
      <c r="L7" s="30">
        <v>0.54808350444900755</v>
      </c>
    </row>
    <row r="8" spans="1:14">
      <c r="A8" s="7" t="s">
        <v>78</v>
      </c>
      <c r="B8" s="7">
        <v>54789</v>
      </c>
      <c r="C8" s="7">
        <v>19856</v>
      </c>
      <c r="D8" s="7">
        <v>116560</v>
      </c>
      <c r="E8" s="29">
        <v>11168406.630000001</v>
      </c>
      <c r="F8" s="29">
        <v>10030649.800000001</v>
      </c>
      <c r="G8" s="29">
        <v>1137770.7</v>
      </c>
      <c r="H8" s="29">
        <v>1202574.96</v>
      </c>
      <c r="I8" s="29">
        <v>562.47</v>
      </c>
      <c r="J8" s="29">
        <v>505.17</v>
      </c>
      <c r="K8" s="31">
        <v>0.11989003543917962</v>
      </c>
      <c r="L8" s="31">
        <v>0.54722663308328312</v>
      </c>
    </row>
    <row r="9" spans="1:14">
      <c r="A9" s="7" t="s">
        <v>79</v>
      </c>
      <c r="B9" s="7">
        <v>32226</v>
      </c>
      <c r="C9" s="7">
        <v>11777</v>
      </c>
      <c r="D9" s="7">
        <v>68285</v>
      </c>
      <c r="E9" s="29">
        <v>6520537.8899999997</v>
      </c>
      <c r="F9" s="29">
        <v>5859474.0499999998</v>
      </c>
      <c r="G9" s="29">
        <v>661072</v>
      </c>
      <c r="H9" s="29">
        <v>690840.34</v>
      </c>
      <c r="I9" s="29">
        <v>553.66999999999996</v>
      </c>
      <c r="J9" s="29">
        <v>497.54</v>
      </c>
      <c r="K9" s="31">
        <v>0.11790142495809841</v>
      </c>
      <c r="L9" s="31">
        <v>0.55070440017377276</v>
      </c>
    </row>
    <row r="12" spans="1:14">
      <c r="A12" s="27" t="s">
        <v>80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</row>
    <row r="13" spans="1:14" ht="26.4">
      <c r="A13" s="3" t="s">
        <v>81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75</v>
      </c>
      <c r="H13" s="4" t="s">
        <v>23</v>
      </c>
      <c r="I13" s="4" t="s">
        <v>24</v>
      </c>
      <c r="J13" s="4" t="s">
        <v>76</v>
      </c>
      <c r="K13" s="4" t="s">
        <v>25</v>
      </c>
      <c r="L13" s="5" t="s">
        <v>26</v>
      </c>
    </row>
    <row r="14" spans="1:14">
      <c r="A14" s="6" t="s">
        <v>82</v>
      </c>
      <c r="B14" s="6">
        <v>11614</v>
      </c>
      <c r="C14" s="6">
        <v>3854</v>
      </c>
      <c r="D14" s="6">
        <v>25603</v>
      </c>
      <c r="E14" s="28">
        <v>2294452.88</v>
      </c>
      <c r="F14" s="28">
        <v>2061679.37</v>
      </c>
      <c r="G14" s="28">
        <v>232776.37</v>
      </c>
      <c r="H14" s="28">
        <v>252071.18</v>
      </c>
      <c r="I14" s="28">
        <v>595.34</v>
      </c>
      <c r="J14" s="28">
        <v>534.95000000000005</v>
      </c>
      <c r="K14" s="30">
        <v>0.12226497663407282</v>
      </c>
      <c r="L14" s="30">
        <v>0.5458928878939211</v>
      </c>
    </row>
    <row r="15" spans="1:14">
      <c r="A15" s="7" t="s">
        <v>83</v>
      </c>
      <c r="B15" s="7">
        <v>50252</v>
      </c>
      <c r="C15" s="7">
        <v>18561</v>
      </c>
      <c r="D15" s="7">
        <v>105238</v>
      </c>
      <c r="E15" s="29">
        <v>10872396.6</v>
      </c>
      <c r="F15" s="29">
        <v>9769198.2300000004</v>
      </c>
      <c r="G15" s="29">
        <v>1103210.75</v>
      </c>
      <c r="H15" s="29">
        <v>1169442.96</v>
      </c>
      <c r="I15" s="29">
        <v>585.77</v>
      </c>
      <c r="J15" s="29">
        <v>526.33000000000004</v>
      </c>
      <c r="K15" s="31">
        <v>0.11970715840413446</v>
      </c>
      <c r="L15" s="31">
        <v>0.55207752925256703</v>
      </c>
    </row>
    <row r="16" spans="1:14">
      <c r="A16" s="7" t="s">
        <v>84</v>
      </c>
      <c r="B16" s="7">
        <v>51594</v>
      </c>
      <c r="C16" s="7">
        <v>17181</v>
      </c>
      <c r="D16" s="7">
        <v>112942</v>
      </c>
      <c r="E16" s="29">
        <v>10277612.640000001</v>
      </c>
      <c r="F16" s="29">
        <v>9235761.9900000002</v>
      </c>
      <c r="G16" s="29">
        <v>1041863.15</v>
      </c>
      <c r="H16" s="29">
        <v>1123321.6100000001</v>
      </c>
      <c r="I16" s="29">
        <v>598.20000000000005</v>
      </c>
      <c r="J16" s="29">
        <v>537.55999999999995</v>
      </c>
      <c r="K16" s="31">
        <v>0.12162738832120988</v>
      </c>
      <c r="L16" s="31">
        <v>0.54355157576462376</v>
      </c>
    </row>
    <row r="17" spans="1:13">
      <c r="A17" s="7" t="s">
        <v>85</v>
      </c>
      <c r="B17" s="7">
        <v>41260</v>
      </c>
      <c r="C17" s="7">
        <v>17577</v>
      </c>
      <c r="D17" s="7">
        <v>83680</v>
      </c>
      <c r="E17" s="29">
        <v>8273743.5800000001</v>
      </c>
      <c r="F17" s="29">
        <v>7434262.5800000001</v>
      </c>
      <c r="G17" s="29">
        <v>839493.31</v>
      </c>
      <c r="H17" s="29">
        <v>857753.44</v>
      </c>
      <c r="I17" s="29">
        <v>470.71</v>
      </c>
      <c r="J17" s="29">
        <v>422.95</v>
      </c>
      <c r="K17" s="31">
        <v>0.11537841591815283</v>
      </c>
      <c r="L17" s="31">
        <v>0.55046049442559375</v>
      </c>
    </row>
    <row r="18" spans="1:13">
      <c r="A18" s="7" t="s">
        <v>86</v>
      </c>
      <c r="B18" s="7">
        <v>25799</v>
      </c>
      <c r="C18" s="7">
        <v>8579</v>
      </c>
      <c r="D18" s="7">
        <v>56616</v>
      </c>
      <c r="E18" s="29">
        <v>5066528.6100000003</v>
      </c>
      <c r="F18" s="29">
        <v>4553499.87</v>
      </c>
      <c r="G18" s="29">
        <v>513034.82</v>
      </c>
      <c r="H18" s="29">
        <v>564313.78</v>
      </c>
      <c r="I18" s="29">
        <v>590.57000000000005</v>
      </c>
      <c r="J18" s="29">
        <v>530.77</v>
      </c>
      <c r="K18" s="31">
        <v>0.12392967961147652</v>
      </c>
      <c r="L18" s="31">
        <v>0.54800573665645957</v>
      </c>
    </row>
    <row r="22" spans="1:13">
      <c r="A22" s="27" t="s">
        <v>87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</row>
    <row r="23" spans="1:13" ht="26.4">
      <c r="A23" s="3" t="s">
        <v>88</v>
      </c>
      <c r="B23" s="4" t="s">
        <v>18</v>
      </c>
      <c r="C23" s="4" t="s">
        <v>19</v>
      </c>
      <c r="D23" s="4" t="s">
        <v>21</v>
      </c>
      <c r="E23" s="4" t="s">
        <v>22</v>
      </c>
      <c r="F23" s="4" t="s">
        <v>23</v>
      </c>
      <c r="G23" s="4" t="s">
        <v>24</v>
      </c>
      <c r="H23" s="4" t="s">
        <v>25</v>
      </c>
      <c r="I23" s="5" t="s">
        <v>26</v>
      </c>
    </row>
    <row r="24" spans="1:13">
      <c r="A24" s="6" t="s">
        <v>89</v>
      </c>
      <c r="B24" s="6">
        <v>27109</v>
      </c>
      <c r="C24" s="6">
        <v>10010</v>
      </c>
      <c r="D24" s="28">
        <v>5894380.6600000001</v>
      </c>
      <c r="E24" s="28">
        <v>5296002.84</v>
      </c>
      <c r="F24" s="28">
        <v>625446.07999999996</v>
      </c>
      <c r="G24" s="28">
        <v>588.85</v>
      </c>
      <c r="H24" s="30">
        <v>0.11809776144304333</v>
      </c>
      <c r="I24" s="30">
        <v>0.55848611162344608</v>
      </c>
    </row>
    <row r="25" spans="1:13">
      <c r="A25" s="7" t="s">
        <v>90</v>
      </c>
      <c r="B25" s="7">
        <v>28341</v>
      </c>
      <c r="C25" s="7">
        <v>9396</v>
      </c>
      <c r="D25" s="29">
        <v>5665711.9900000002</v>
      </c>
      <c r="E25" s="29">
        <v>5093849.66</v>
      </c>
      <c r="F25" s="29">
        <v>616341.56999999995</v>
      </c>
      <c r="G25" s="29">
        <v>602.99</v>
      </c>
      <c r="H25" s="31">
        <v>0.12099720469567214</v>
      </c>
      <c r="I25" s="31">
        <v>0.54754595815249996</v>
      </c>
    </row>
    <row r="26" spans="1:13">
      <c r="A26" s="7" t="s">
        <v>91</v>
      </c>
      <c r="B26" s="7">
        <v>14935</v>
      </c>
      <c r="C26" s="7">
        <v>4979</v>
      </c>
      <c r="D26" s="29">
        <v>2960881.35</v>
      </c>
      <c r="E26" s="29">
        <v>2660243.66</v>
      </c>
      <c r="F26" s="29">
        <v>335154.40000000002</v>
      </c>
      <c r="G26" s="29">
        <v>594.66999999999996</v>
      </c>
      <c r="H26" s="31">
        <v>0.12598635419734447</v>
      </c>
      <c r="I26" s="31">
        <v>0.54308670907264811</v>
      </c>
    </row>
    <row r="27" spans="1:13">
      <c r="A27" s="7" t="s">
        <v>92</v>
      </c>
      <c r="B27" s="7">
        <v>9792</v>
      </c>
      <c r="C27" s="7">
        <v>3716</v>
      </c>
      <c r="D27" s="29">
        <v>2155830.61</v>
      </c>
      <c r="E27" s="29">
        <v>1939362.41</v>
      </c>
      <c r="F27" s="29">
        <v>233450.6</v>
      </c>
      <c r="G27" s="29">
        <v>580.15</v>
      </c>
      <c r="H27" s="31">
        <v>0.12037492260149563</v>
      </c>
      <c r="I27" s="31">
        <v>0.5404411764705882</v>
      </c>
    </row>
    <row r="28" spans="1:13">
      <c r="A28" s="7" t="s">
        <v>93</v>
      </c>
      <c r="B28" s="7">
        <v>9431</v>
      </c>
      <c r="C28" s="7">
        <v>3543</v>
      </c>
      <c r="D28" s="29">
        <v>2047918.78</v>
      </c>
      <c r="E28" s="29">
        <v>1837525.8</v>
      </c>
      <c r="F28" s="29">
        <v>230829.23</v>
      </c>
      <c r="G28" s="29">
        <v>578.02</v>
      </c>
      <c r="H28" s="31">
        <v>0.12561958585833188</v>
      </c>
      <c r="I28" s="31">
        <v>0.54384476725691866</v>
      </c>
    </row>
    <row r="29" spans="1:13">
      <c r="A29" s="7" t="s">
        <v>94</v>
      </c>
      <c r="B29" s="7">
        <v>10148</v>
      </c>
      <c r="C29" s="7">
        <v>4362</v>
      </c>
      <c r="D29" s="29">
        <v>2016654.16</v>
      </c>
      <c r="E29" s="29">
        <v>1809996.53</v>
      </c>
      <c r="F29" s="29">
        <v>201478.02</v>
      </c>
      <c r="G29" s="29">
        <v>462.32</v>
      </c>
      <c r="H29" s="31">
        <v>0.11131403660757294</v>
      </c>
      <c r="I29" s="31">
        <v>0.54020496649586125</v>
      </c>
    </row>
    <row r="30" spans="1:13">
      <c r="A30" s="7" t="s">
        <v>95</v>
      </c>
      <c r="B30" s="7">
        <v>9539</v>
      </c>
      <c r="C30" s="7">
        <v>4356</v>
      </c>
      <c r="D30" s="29">
        <v>1932495.53</v>
      </c>
      <c r="E30" s="29">
        <v>1738553.42</v>
      </c>
      <c r="F30" s="29">
        <v>211342.82</v>
      </c>
      <c r="G30" s="29">
        <v>443.64</v>
      </c>
      <c r="H30" s="31">
        <v>0.12156245391642899</v>
      </c>
      <c r="I30" s="31">
        <v>0.55529929762029562</v>
      </c>
    </row>
    <row r="31" spans="1:13">
      <c r="A31" s="7" t="s">
        <v>96</v>
      </c>
      <c r="B31" s="7">
        <v>8318</v>
      </c>
      <c r="C31" s="7">
        <v>2806</v>
      </c>
      <c r="D31" s="29">
        <v>1651019.3</v>
      </c>
      <c r="E31" s="29">
        <v>1481668.67</v>
      </c>
      <c r="F31" s="29">
        <v>171825.64</v>
      </c>
      <c r="G31" s="29">
        <v>588.39</v>
      </c>
      <c r="H31" s="31">
        <v>0.11596765422596132</v>
      </c>
      <c r="I31" s="31">
        <v>0.53077662899735512</v>
      </c>
    </row>
    <row r="32" spans="1:13">
      <c r="A32" s="7" t="s">
        <v>97</v>
      </c>
      <c r="B32" s="7">
        <v>7993</v>
      </c>
      <c r="C32" s="7">
        <v>2667</v>
      </c>
      <c r="D32" s="29">
        <v>1571415.93</v>
      </c>
      <c r="E32" s="29">
        <v>1412253.58</v>
      </c>
      <c r="F32" s="29">
        <v>164940.66</v>
      </c>
      <c r="G32" s="29">
        <v>589.21</v>
      </c>
      <c r="H32" s="31">
        <v>0.11679252390353295</v>
      </c>
      <c r="I32" s="31">
        <v>0.53959714750406607</v>
      </c>
    </row>
    <row r="33" spans="1:9">
      <c r="A33" s="7" t="s">
        <v>98</v>
      </c>
      <c r="B33" s="7">
        <v>7731</v>
      </c>
      <c r="C33" s="7">
        <v>3335</v>
      </c>
      <c r="D33" s="29">
        <v>1553680.89</v>
      </c>
      <c r="E33" s="29">
        <v>1397364.56</v>
      </c>
      <c r="F33" s="29">
        <v>165703.9</v>
      </c>
      <c r="G33" s="29">
        <v>465.87</v>
      </c>
      <c r="H33" s="31">
        <v>0.11858315628099227</v>
      </c>
      <c r="I33" s="31">
        <v>0.56266977105161042</v>
      </c>
    </row>
    <row r="34" spans="1:9">
      <c r="A34" s="7" t="s">
        <v>99</v>
      </c>
      <c r="B34" s="7">
        <v>7280</v>
      </c>
      <c r="C34" s="7">
        <v>3318</v>
      </c>
      <c r="D34" s="29">
        <v>1486401.31</v>
      </c>
      <c r="E34" s="29">
        <v>1334313.3999999999</v>
      </c>
      <c r="F34" s="29">
        <v>147368.01</v>
      </c>
      <c r="G34" s="29">
        <v>447.98</v>
      </c>
      <c r="H34" s="31">
        <v>0.11044482503136072</v>
      </c>
      <c r="I34" s="31">
        <v>0.54326923076923073</v>
      </c>
    </row>
    <row r="35" spans="1:9">
      <c r="A35" s="7" t="s">
        <v>100</v>
      </c>
      <c r="B35" s="7">
        <v>6915</v>
      </c>
      <c r="C35" s="7">
        <v>2323</v>
      </c>
      <c r="D35" s="29">
        <v>1371111.96</v>
      </c>
      <c r="E35" s="29">
        <v>1231955.1200000001</v>
      </c>
      <c r="F35" s="29">
        <v>156263.29999999999</v>
      </c>
      <c r="G35" s="29">
        <v>590.23</v>
      </c>
      <c r="H35" s="31">
        <v>0.12684171481831252</v>
      </c>
      <c r="I35" s="31">
        <v>0.5566160520607375</v>
      </c>
    </row>
    <row r="36" spans="1:9">
      <c r="A36" s="7" t="s">
        <v>101</v>
      </c>
      <c r="B36" s="7">
        <v>6009</v>
      </c>
      <c r="C36" s="7">
        <v>2022</v>
      </c>
      <c r="D36" s="29">
        <v>1174671.76</v>
      </c>
      <c r="E36" s="29">
        <v>1056080.98</v>
      </c>
      <c r="F36" s="29">
        <v>118815.41</v>
      </c>
      <c r="G36" s="29">
        <v>580.95000000000005</v>
      </c>
      <c r="H36" s="31">
        <v>0.11250596521490237</v>
      </c>
      <c r="I36" s="31">
        <v>0.55283741055084046</v>
      </c>
    </row>
    <row r="37" spans="1:9">
      <c r="A37" s="7" t="s">
        <v>102</v>
      </c>
      <c r="B37" s="7">
        <v>5887</v>
      </c>
      <c r="C37" s="7">
        <v>1935</v>
      </c>
      <c r="D37" s="29">
        <v>1151355.75</v>
      </c>
      <c r="E37" s="29">
        <v>1034129.42</v>
      </c>
      <c r="F37" s="29">
        <v>131094.23000000001</v>
      </c>
      <c r="G37" s="29">
        <v>595.02</v>
      </c>
      <c r="H37" s="31">
        <v>0.12676772120069846</v>
      </c>
      <c r="I37" s="31">
        <v>0.55240360115508746</v>
      </c>
    </row>
    <row r="38" spans="1:9">
      <c r="A38" s="7" t="s">
        <v>103</v>
      </c>
      <c r="B38" s="7">
        <v>4045</v>
      </c>
      <c r="C38" s="7">
        <v>1345</v>
      </c>
      <c r="D38" s="29">
        <v>785783.93</v>
      </c>
      <c r="E38" s="29">
        <v>706904.33</v>
      </c>
      <c r="F38" s="29">
        <v>88114.880000000005</v>
      </c>
      <c r="G38" s="29">
        <v>584.23</v>
      </c>
      <c r="H38" s="31">
        <v>0.12464894648473862</v>
      </c>
      <c r="I38" s="31">
        <v>0.55772558714462295</v>
      </c>
    </row>
    <row r="39" spans="1:9">
      <c r="A39" s="7" t="s">
        <v>104</v>
      </c>
      <c r="B39" s="7">
        <v>3920</v>
      </c>
      <c r="C39" s="7">
        <v>1292</v>
      </c>
      <c r="D39" s="29">
        <v>774266.55</v>
      </c>
      <c r="E39" s="29">
        <v>696307.18</v>
      </c>
      <c r="F39" s="29">
        <v>79717.05</v>
      </c>
      <c r="G39" s="29">
        <v>599.28</v>
      </c>
      <c r="H39" s="31">
        <v>0.11448546315435093</v>
      </c>
      <c r="I39" s="31">
        <v>0.55663265306122445</v>
      </c>
    </row>
    <row r="40" spans="1:9">
      <c r="A40" s="7" t="s">
        <v>105</v>
      </c>
      <c r="B40" s="7">
        <v>3696</v>
      </c>
      <c r="C40" s="7">
        <v>1223</v>
      </c>
      <c r="D40" s="29">
        <v>727951.18</v>
      </c>
      <c r="E40" s="29">
        <v>654168.02</v>
      </c>
      <c r="F40" s="29">
        <v>80030.27</v>
      </c>
      <c r="G40" s="29">
        <v>595.22</v>
      </c>
      <c r="H40" s="31">
        <v>0.12233901314833459</v>
      </c>
      <c r="I40" s="31">
        <v>0.52840909090909094</v>
      </c>
    </row>
    <row r="41" spans="1:9">
      <c r="A41" s="7" t="s">
        <v>106</v>
      </c>
      <c r="B41" s="7">
        <v>3232</v>
      </c>
      <c r="C41" s="7">
        <v>1064</v>
      </c>
      <c r="D41" s="29">
        <v>634752.21</v>
      </c>
      <c r="E41" s="29">
        <v>572241.96</v>
      </c>
      <c r="F41" s="29">
        <v>64599.86</v>
      </c>
      <c r="G41" s="29">
        <v>596.57000000000005</v>
      </c>
      <c r="H41" s="31">
        <v>0.11288906531775475</v>
      </c>
      <c r="I41" s="31">
        <v>0.54517326732673266</v>
      </c>
    </row>
    <row r="42" spans="1:9">
      <c r="A42" s="7" t="s">
        <v>107</v>
      </c>
      <c r="B42" s="7">
        <v>1852</v>
      </c>
      <c r="C42" s="7">
        <v>613</v>
      </c>
      <c r="D42" s="29">
        <v>376234.89</v>
      </c>
      <c r="E42" s="29">
        <v>338054.31</v>
      </c>
      <c r="F42" s="29">
        <v>43167.73</v>
      </c>
      <c r="G42" s="29">
        <v>613.76</v>
      </c>
      <c r="H42" s="31">
        <v>0.12769465947646105</v>
      </c>
      <c r="I42" s="31">
        <v>0.55939524838012955</v>
      </c>
    </row>
    <row r="43" spans="1:9">
      <c r="A43" s="7" t="s">
        <v>108</v>
      </c>
      <c r="B43" s="7">
        <v>1677</v>
      </c>
      <c r="C43" s="7">
        <v>556</v>
      </c>
      <c r="D43" s="29">
        <v>327263.01</v>
      </c>
      <c r="E43" s="29">
        <v>292912.56</v>
      </c>
      <c r="F43" s="29">
        <v>33447.269999999997</v>
      </c>
      <c r="G43" s="29">
        <v>588.6</v>
      </c>
      <c r="H43" s="31">
        <v>0.11418858242200333</v>
      </c>
      <c r="I43" s="31">
        <v>0.57960644007155637</v>
      </c>
    </row>
    <row r="44" spans="1:9">
      <c r="A44" s="7" t="s">
        <v>109</v>
      </c>
      <c r="B44" s="7">
        <v>1157</v>
      </c>
      <c r="C44" s="7">
        <v>398</v>
      </c>
      <c r="D44" s="29">
        <v>228251.59</v>
      </c>
      <c r="E44" s="29">
        <v>204302.52</v>
      </c>
      <c r="F44" s="29">
        <v>30826.05</v>
      </c>
      <c r="G44" s="29">
        <v>573.5</v>
      </c>
      <c r="H44" s="31">
        <v>0.15088433564108755</v>
      </c>
      <c r="I44" s="31">
        <v>0.53327571305099397</v>
      </c>
    </row>
    <row r="45" spans="1:9">
      <c r="A45" s="7" t="s">
        <v>110</v>
      </c>
      <c r="B45" s="7">
        <v>959</v>
      </c>
      <c r="C45" s="7">
        <v>309</v>
      </c>
      <c r="D45" s="29">
        <v>186861.04</v>
      </c>
      <c r="E45" s="29">
        <v>168257.42</v>
      </c>
      <c r="F45" s="29">
        <v>23900.71</v>
      </c>
      <c r="G45" s="29">
        <v>604.73</v>
      </c>
      <c r="H45" s="31">
        <v>0.14204847548476612</v>
      </c>
      <c r="I45" s="31">
        <v>0.48800834202294058</v>
      </c>
    </row>
    <row r="46" spans="1:9">
      <c r="A46" s="7" t="s">
        <v>111</v>
      </c>
      <c r="B46" s="7">
        <v>553</v>
      </c>
      <c r="C46" s="7">
        <v>184</v>
      </c>
      <c r="D46" s="29">
        <v>109839.93</v>
      </c>
      <c r="E46" s="29">
        <v>97953.69</v>
      </c>
      <c r="F46" s="29">
        <v>13045.28</v>
      </c>
      <c r="G46" s="29">
        <v>596.96</v>
      </c>
      <c r="H46" s="31">
        <v>0.13317803545736767</v>
      </c>
      <c r="I46" s="31">
        <v>0.55334538878842676</v>
      </c>
    </row>
  </sheetData>
  <mergeCells count="1">
    <mergeCell ref="A3:D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19"/>
  <sheetViews>
    <sheetView showGridLines="0" workbookViewId="0">
      <pane ySplit="5" topLeftCell="A6" activePane="bottomLeft" state="frozen"/>
      <selection pane="bottomLeft" activeCell="A3" sqref="A3:C3"/>
    </sheetView>
  </sheetViews>
  <sheetFormatPr defaultRowHeight="13.8"/>
  <cols>
    <col min="1" max="1" width="20" customWidth="1"/>
    <col min="2" max="14" width="15" customWidth="1"/>
  </cols>
  <sheetData>
    <row r="2" spans="1:14" ht="21.6" thickBot="1">
      <c r="A2" s="12" t="s">
        <v>112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42" t="s">
        <v>113</v>
      </c>
      <c r="B3" s="42"/>
      <c r="C3" s="42"/>
    </row>
    <row r="5" spans="1:14">
      <c r="A5" s="27" t="s">
        <v>114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26.4">
      <c r="A6" s="3" t="s">
        <v>115</v>
      </c>
      <c r="B6" s="4" t="s">
        <v>19</v>
      </c>
      <c r="C6" s="4" t="s">
        <v>21</v>
      </c>
      <c r="D6" s="4" t="s">
        <v>22</v>
      </c>
      <c r="E6" s="4" t="s">
        <v>23</v>
      </c>
      <c r="F6" s="4" t="s">
        <v>116</v>
      </c>
      <c r="G6" s="4" t="s">
        <v>117</v>
      </c>
      <c r="H6" s="4" t="s">
        <v>118</v>
      </c>
      <c r="I6" s="4" t="s">
        <v>119</v>
      </c>
      <c r="J6" s="4" t="s">
        <v>120</v>
      </c>
      <c r="K6" s="4" t="s">
        <v>24</v>
      </c>
      <c r="L6" s="4" t="s">
        <v>76</v>
      </c>
      <c r="M6" s="5" t="s">
        <v>25</v>
      </c>
    </row>
    <row r="7" spans="1:14">
      <c r="A7" s="6" t="s">
        <v>121</v>
      </c>
      <c r="B7" s="6">
        <v>10079</v>
      </c>
      <c r="C7" s="28">
        <v>5674369.6500000004</v>
      </c>
      <c r="D7" s="28">
        <v>5100451.0199999996</v>
      </c>
      <c r="E7" s="28">
        <v>643121.92000000004</v>
      </c>
      <c r="F7" s="6">
        <v>9602</v>
      </c>
      <c r="G7" s="32">
        <v>2</v>
      </c>
      <c r="H7" s="32">
        <v>1</v>
      </c>
      <c r="I7" s="32">
        <v>1</v>
      </c>
      <c r="J7" s="30">
        <v>0.95267387637662471</v>
      </c>
      <c r="K7" s="28">
        <v>562.99</v>
      </c>
      <c r="L7" s="28">
        <v>506.05</v>
      </c>
      <c r="M7" s="30">
        <v>0.12609118634375199</v>
      </c>
    </row>
    <row r="8" spans="1:14">
      <c r="A8" s="7" t="s">
        <v>122</v>
      </c>
      <c r="B8" s="7">
        <v>12778</v>
      </c>
      <c r="C8" s="29">
        <v>7145444.6799999997</v>
      </c>
      <c r="D8" s="29">
        <v>6416528.4699999997</v>
      </c>
      <c r="E8" s="29">
        <v>750308.17</v>
      </c>
      <c r="F8" s="7">
        <v>9803</v>
      </c>
      <c r="G8" s="33">
        <v>4.0015651901706057</v>
      </c>
      <c r="H8" s="33">
        <v>2</v>
      </c>
      <c r="I8" s="33">
        <v>2.0015651901706057</v>
      </c>
      <c r="J8" s="31">
        <v>0.76717796212239786</v>
      </c>
      <c r="K8" s="29">
        <v>559.20000000000005</v>
      </c>
      <c r="L8" s="29">
        <v>502.15</v>
      </c>
      <c r="M8" s="31">
        <v>0.11693366179360225</v>
      </c>
    </row>
    <row r="9" spans="1:14">
      <c r="A9" s="7" t="s">
        <v>123</v>
      </c>
      <c r="B9" s="7">
        <v>3571</v>
      </c>
      <c r="C9" s="29">
        <v>1942528.52</v>
      </c>
      <c r="D9" s="29">
        <v>1745201.51</v>
      </c>
      <c r="E9" s="29">
        <v>203018.43</v>
      </c>
      <c r="F9" s="7">
        <v>1648</v>
      </c>
      <c r="G9" s="33">
        <v>0.48361803416409971</v>
      </c>
      <c r="H9" s="33">
        <v>0</v>
      </c>
      <c r="I9" s="33">
        <v>0.48361803416409971</v>
      </c>
      <c r="J9" s="31">
        <v>0.46149537944553348</v>
      </c>
      <c r="K9" s="29">
        <v>543.97</v>
      </c>
      <c r="L9" s="29">
        <v>488.72</v>
      </c>
      <c r="M9" s="31">
        <v>0.11632950627002379</v>
      </c>
    </row>
    <row r="10" spans="1:14">
      <c r="A10" s="7" t="s">
        <v>124</v>
      </c>
      <c r="B10" s="7">
        <v>39324</v>
      </c>
      <c r="C10" s="29">
        <v>22022391.460000001</v>
      </c>
      <c r="D10" s="29">
        <v>19792221.039999999</v>
      </c>
      <c r="E10" s="29">
        <v>2370454.4500000002</v>
      </c>
      <c r="F10" s="7">
        <v>14995</v>
      </c>
      <c r="G10" s="33">
        <v>3.9968975689146578</v>
      </c>
      <c r="H10" s="33">
        <v>4</v>
      </c>
      <c r="I10" s="33">
        <v>-3.1024310853422846E-3</v>
      </c>
      <c r="J10" s="31">
        <v>0.38131929610416032</v>
      </c>
      <c r="K10" s="29">
        <v>560.02</v>
      </c>
      <c r="L10" s="29">
        <v>503.31</v>
      </c>
      <c r="M10" s="31">
        <v>0.11976697537933319</v>
      </c>
    </row>
    <row r="14" spans="1:14">
      <c r="A14" s="27" t="s">
        <v>125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1:14" ht="26.4">
      <c r="A15" s="3" t="s">
        <v>126</v>
      </c>
      <c r="B15" s="4" t="s">
        <v>19</v>
      </c>
      <c r="C15" s="4" t="s">
        <v>21</v>
      </c>
      <c r="D15" s="4" t="s">
        <v>22</v>
      </c>
      <c r="E15" s="4" t="s">
        <v>23</v>
      </c>
      <c r="F15" s="4" t="s">
        <v>116</v>
      </c>
      <c r="G15" s="4" t="s">
        <v>117</v>
      </c>
      <c r="H15" s="4" t="s">
        <v>118</v>
      </c>
      <c r="I15" s="4" t="s">
        <v>119</v>
      </c>
      <c r="J15" s="4" t="s">
        <v>120</v>
      </c>
      <c r="K15" s="4" t="s">
        <v>24</v>
      </c>
      <c r="L15" s="4" t="s">
        <v>76</v>
      </c>
      <c r="M15" s="5" t="s">
        <v>25</v>
      </c>
    </row>
    <row r="16" spans="1:14">
      <c r="A16" s="6" t="s">
        <v>127</v>
      </c>
      <c r="B16" s="6">
        <v>15127</v>
      </c>
      <c r="C16" s="28">
        <v>8518007.7300000004</v>
      </c>
      <c r="D16" s="28">
        <v>7656338.6699999999</v>
      </c>
      <c r="E16" s="28">
        <v>935225.28</v>
      </c>
      <c r="F16" s="6">
        <v>0</v>
      </c>
      <c r="G16" s="32">
        <v>2.4969260263105704</v>
      </c>
      <c r="H16" s="32">
        <v>4</v>
      </c>
      <c r="I16" s="32">
        <v>-1.5030739736894294</v>
      </c>
      <c r="J16" s="30">
        <v>0</v>
      </c>
      <c r="K16" s="28">
        <v>563.1</v>
      </c>
      <c r="L16" s="28">
        <v>506.14</v>
      </c>
      <c r="M16" s="30">
        <v>0.12215045863429655</v>
      </c>
    </row>
    <row r="17" spans="1:13">
      <c r="A17" s="7" t="s">
        <v>128</v>
      </c>
      <c r="B17" s="7">
        <v>36048</v>
      </c>
      <c r="C17" s="29">
        <v>20126394.879999999</v>
      </c>
      <c r="D17" s="29">
        <v>18082555.109999999</v>
      </c>
      <c r="E17" s="29">
        <v>2140051.6800000002</v>
      </c>
      <c r="F17" s="7">
        <v>36048</v>
      </c>
      <c r="G17" s="33">
        <v>4.0922658677319133</v>
      </c>
      <c r="H17" s="33">
        <v>2.4741455836662229</v>
      </c>
      <c r="I17" s="33">
        <v>1.6181202840656901</v>
      </c>
      <c r="J17" s="31">
        <v>1</v>
      </c>
      <c r="K17" s="29">
        <v>558.32000000000005</v>
      </c>
      <c r="L17" s="29">
        <v>501.62</v>
      </c>
      <c r="M17" s="31">
        <v>0.11834896489913146</v>
      </c>
    </row>
    <row r="18" spans="1:13">
      <c r="A18" s="7" t="s">
        <v>129</v>
      </c>
      <c r="B18" s="7">
        <v>2855</v>
      </c>
      <c r="C18" s="29">
        <v>1570305.33</v>
      </c>
      <c r="D18" s="29">
        <v>1409737.29</v>
      </c>
      <c r="E18" s="29">
        <v>160482.34</v>
      </c>
      <c r="F18" s="7">
        <v>0</v>
      </c>
      <c r="G18" s="33">
        <v>3.4872154115586689</v>
      </c>
      <c r="H18" s="33">
        <v>2.9033274956217161</v>
      </c>
      <c r="I18" s="33">
        <v>0.58388791593695266</v>
      </c>
      <c r="J18" s="31">
        <v>0</v>
      </c>
      <c r="K18" s="29">
        <v>550.02</v>
      </c>
      <c r="L18" s="29">
        <v>493.78</v>
      </c>
      <c r="M18" s="31">
        <v>0.11383847269869693</v>
      </c>
    </row>
    <row r="19" spans="1:13">
      <c r="A19" s="7" t="s">
        <v>130</v>
      </c>
      <c r="B19" s="7">
        <v>11722</v>
      </c>
      <c r="C19" s="29">
        <v>6570026.3700000001</v>
      </c>
      <c r="D19" s="29">
        <v>5905770.9699999997</v>
      </c>
      <c r="E19" s="29">
        <v>731143.67</v>
      </c>
      <c r="F19" s="7">
        <v>0</v>
      </c>
      <c r="G19" s="33">
        <v>2.9812318716942503</v>
      </c>
      <c r="H19" s="33">
        <v>2.9812318716942503</v>
      </c>
      <c r="I19" s="33">
        <v>0</v>
      </c>
      <c r="J19" s="31">
        <v>0</v>
      </c>
      <c r="K19" s="29">
        <v>560.49</v>
      </c>
      <c r="L19" s="29">
        <v>503.82</v>
      </c>
      <c r="M19" s="31">
        <v>0.1238015618475635</v>
      </c>
    </row>
  </sheetData>
  <mergeCells count="1">
    <mergeCell ref="A3:C3"/>
  </mergeCells>
  <conditionalFormatting sqref="I7:I10">
    <cfRule type="cellIs" dxfId="1" priority="1" operator="greater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41"/>
  <sheetViews>
    <sheetView showGridLines="0" workbookViewId="0">
      <pane ySplit="5" topLeftCell="A27" activePane="bottomLeft" state="frozen"/>
      <selection pane="bottomLeft" activeCell="A3" sqref="A3:C3"/>
    </sheetView>
  </sheetViews>
  <sheetFormatPr defaultRowHeight="13.8"/>
  <cols>
    <col min="1" max="1" width="14" customWidth="1"/>
    <col min="2" max="2" width="38" customWidth="1"/>
    <col min="3" max="13" width="14" customWidth="1"/>
    <col min="14" max="14" width="38" customWidth="1"/>
    <col min="15" max="23" width="14" customWidth="1"/>
  </cols>
  <sheetData>
    <row r="2" spans="1:23" ht="21.6" thickBot="1">
      <c r="A2" s="12" t="s">
        <v>131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23">
      <c r="A3" s="42" t="s">
        <v>132</v>
      </c>
      <c r="B3" s="42"/>
      <c r="C3" s="42"/>
    </row>
    <row r="5" spans="1:23">
      <c r="A5" s="27" t="s">
        <v>133</v>
      </c>
      <c r="B5" s="27"/>
      <c r="C5" s="27"/>
      <c r="D5" s="27"/>
      <c r="E5" s="27"/>
      <c r="F5" s="27"/>
      <c r="G5" s="27"/>
      <c r="H5" s="27"/>
      <c r="I5" s="27"/>
      <c r="J5" s="27"/>
      <c r="K5" s="27"/>
      <c r="M5" s="27" t="s">
        <v>134</v>
      </c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3" ht="26.4">
      <c r="A6" s="3" t="s">
        <v>135</v>
      </c>
      <c r="B6" s="4" t="s">
        <v>136</v>
      </c>
      <c r="C6" s="4" t="s">
        <v>137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25</v>
      </c>
      <c r="K6" s="5" t="s">
        <v>26</v>
      </c>
      <c r="M6" s="3" t="s">
        <v>135</v>
      </c>
      <c r="N6" s="4" t="s">
        <v>136</v>
      </c>
      <c r="O6" s="4" t="s">
        <v>137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25</v>
      </c>
      <c r="W6" s="5" t="s">
        <v>26</v>
      </c>
    </row>
    <row r="7" spans="1:23">
      <c r="A7" s="6">
        <v>1004</v>
      </c>
      <c r="B7" s="6" t="s">
        <v>138</v>
      </c>
      <c r="C7" s="6" t="s">
        <v>139</v>
      </c>
      <c r="D7" s="6">
        <v>17325</v>
      </c>
      <c r="E7" s="6">
        <v>15164</v>
      </c>
      <c r="F7" s="6">
        <v>17325</v>
      </c>
      <c r="G7" s="28">
        <v>6929653.5</v>
      </c>
      <c r="H7" s="28">
        <v>6226935.1200000001</v>
      </c>
      <c r="I7" s="28">
        <v>756220.76</v>
      </c>
      <c r="J7" s="30">
        <v>0.1214434943397965</v>
      </c>
      <c r="K7" s="30">
        <v>0.54926406926406923</v>
      </c>
      <c r="M7" s="6">
        <v>208</v>
      </c>
      <c r="N7" s="6" t="s">
        <v>140</v>
      </c>
      <c r="O7" s="6" t="s">
        <v>141</v>
      </c>
      <c r="P7" s="6">
        <v>15</v>
      </c>
      <c r="Q7" s="6">
        <v>15</v>
      </c>
      <c r="R7" s="6">
        <v>15</v>
      </c>
      <c r="S7" s="28">
        <v>29999.85</v>
      </c>
      <c r="T7" s="28">
        <v>26409.85</v>
      </c>
      <c r="U7" s="28">
        <v>-965.12</v>
      </c>
      <c r="V7" s="30">
        <v>-3.6543940991713299E-2</v>
      </c>
      <c r="W7" s="30">
        <v>0.4</v>
      </c>
    </row>
    <row r="8" spans="1:23">
      <c r="A8" s="7">
        <v>365</v>
      </c>
      <c r="B8" s="7" t="s">
        <v>142</v>
      </c>
      <c r="C8" s="7" t="s">
        <v>143</v>
      </c>
      <c r="D8" s="7">
        <v>24515</v>
      </c>
      <c r="E8" s="7">
        <v>20359</v>
      </c>
      <c r="F8" s="7">
        <v>73698</v>
      </c>
      <c r="G8" s="29">
        <v>4421143.0199999996</v>
      </c>
      <c r="H8" s="29">
        <v>3973180.31</v>
      </c>
      <c r="I8" s="29">
        <v>493828.3</v>
      </c>
      <c r="J8" s="31">
        <v>0.1242904327188715</v>
      </c>
      <c r="K8" s="31">
        <v>0.54958188863960844</v>
      </c>
      <c r="M8" s="7">
        <v>860</v>
      </c>
      <c r="N8" s="7" t="s">
        <v>144</v>
      </c>
      <c r="O8" s="7" t="s">
        <v>145</v>
      </c>
      <c r="P8" s="7">
        <v>11</v>
      </c>
      <c r="Q8" s="7">
        <v>8</v>
      </c>
      <c r="R8" s="7">
        <v>11</v>
      </c>
      <c r="S8" s="29">
        <v>6599.89</v>
      </c>
      <c r="T8" s="29">
        <v>6062.89</v>
      </c>
      <c r="U8" s="29">
        <v>-255.95</v>
      </c>
      <c r="V8" s="31">
        <v>-4.2215840960334088E-2</v>
      </c>
      <c r="W8" s="31">
        <v>0.54545454545454541</v>
      </c>
    </row>
    <row r="9" spans="1:23">
      <c r="A9" s="7">
        <v>957</v>
      </c>
      <c r="B9" s="7" t="s">
        <v>146</v>
      </c>
      <c r="C9" s="7" t="s">
        <v>147</v>
      </c>
      <c r="D9" s="7">
        <v>13729</v>
      </c>
      <c r="E9" s="7">
        <v>12299</v>
      </c>
      <c r="F9" s="7">
        <v>13729</v>
      </c>
      <c r="G9" s="29">
        <v>4118425.42</v>
      </c>
      <c r="H9" s="29">
        <v>3700783.54</v>
      </c>
      <c r="I9" s="29">
        <v>427455.57</v>
      </c>
      <c r="J9" s="31">
        <v>0.11550407241597276</v>
      </c>
      <c r="K9" s="31">
        <v>0.54534197683735164</v>
      </c>
      <c r="M9" s="7">
        <v>60</v>
      </c>
      <c r="N9" s="7" t="s">
        <v>148</v>
      </c>
      <c r="O9" s="7" t="s">
        <v>149</v>
      </c>
      <c r="P9" s="7">
        <v>10</v>
      </c>
      <c r="Q9" s="7">
        <v>10</v>
      </c>
      <c r="R9" s="7">
        <v>10</v>
      </c>
      <c r="S9" s="29">
        <v>9999.9</v>
      </c>
      <c r="T9" s="29">
        <v>9414.9</v>
      </c>
      <c r="U9" s="29">
        <v>-169.56</v>
      </c>
      <c r="V9" s="31">
        <v>-1.8009750501864086E-2</v>
      </c>
      <c r="W9" s="31">
        <v>0.7</v>
      </c>
    </row>
    <row r="10" spans="1:23">
      <c r="A10" s="7">
        <v>191</v>
      </c>
      <c r="B10" s="7" t="s">
        <v>150</v>
      </c>
      <c r="C10" s="7" t="s">
        <v>151</v>
      </c>
      <c r="D10" s="7">
        <v>12169</v>
      </c>
      <c r="E10" s="7">
        <v>11092</v>
      </c>
      <c r="F10" s="7">
        <v>36680</v>
      </c>
      <c r="G10" s="29">
        <v>3667633.2</v>
      </c>
      <c r="H10" s="29">
        <v>3295693.32</v>
      </c>
      <c r="I10" s="29">
        <v>379915.82</v>
      </c>
      <c r="J10" s="31">
        <v>0.11527644811320005</v>
      </c>
      <c r="K10" s="31">
        <v>0.54474484345467988</v>
      </c>
      <c r="M10" s="7">
        <v>203</v>
      </c>
      <c r="N10" s="7" t="s">
        <v>152</v>
      </c>
      <c r="O10" s="7" t="s">
        <v>141</v>
      </c>
      <c r="P10" s="7">
        <v>32</v>
      </c>
      <c r="Q10" s="7">
        <v>32</v>
      </c>
      <c r="R10" s="7">
        <v>32</v>
      </c>
      <c r="S10" s="29">
        <v>12799.68</v>
      </c>
      <c r="T10" s="29">
        <v>11601.68</v>
      </c>
      <c r="U10" s="29">
        <v>245.63</v>
      </c>
      <c r="V10" s="31">
        <v>2.1171933719944011E-2</v>
      </c>
      <c r="W10" s="31">
        <v>0.65625</v>
      </c>
    </row>
    <row r="11" spans="1:23">
      <c r="A11" s="7">
        <v>502</v>
      </c>
      <c r="B11" s="7" t="s">
        <v>153</v>
      </c>
      <c r="C11" s="7" t="s">
        <v>154</v>
      </c>
      <c r="D11" s="7">
        <v>21035</v>
      </c>
      <c r="E11" s="7">
        <v>17869</v>
      </c>
      <c r="F11" s="7">
        <v>62956</v>
      </c>
      <c r="G11" s="29">
        <v>3147800</v>
      </c>
      <c r="H11" s="29">
        <v>2828708.5</v>
      </c>
      <c r="I11" s="29">
        <v>350421.03</v>
      </c>
      <c r="J11" s="31">
        <v>0.12388021954188635</v>
      </c>
      <c r="K11" s="31">
        <v>0.54556691228904208</v>
      </c>
      <c r="M11" s="7">
        <v>61</v>
      </c>
      <c r="N11" s="7" t="s">
        <v>155</v>
      </c>
      <c r="O11" s="7" t="s">
        <v>149</v>
      </c>
      <c r="P11" s="7">
        <v>28</v>
      </c>
      <c r="Q11" s="7">
        <v>27</v>
      </c>
      <c r="R11" s="7">
        <v>28</v>
      </c>
      <c r="S11" s="29">
        <v>8399.7199999999993</v>
      </c>
      <c r="T11" s="29">
        <v>7624.22</v>
      </c>
      <c r="U11" s="29">
        <v>284.42</v>
      </c>
      <c r="V11" s="31">
        <v>3.7304799704100874E-2</v>
      </c>
      <c r="W11" s="31">
        <v>0.42857142857142855</v>
      </c>
    </row>
    <row r="12" spans="1:23">
      <c r="A12" s="7">
        <v>1073</v>
      </c>
      <c r="B12" s="7" t="s">
        <v>156</v>
      </c>
      <c r="C12" s="7" t="s">
        <v>157</v>
      </c>
      <c r="D12" s="7">
        <v>15500</v>
      </c>
      <c r="E12" s="7">
        <v>13727</v>
      </c>
      <c r="F12" s="7">
        <v>15500</v>
      </c>
      <c r="G12" s="29">
        <v>3099845</v>
      </c>
      <c r="H12" s="29">
        <v>2785518</v>
      </c>
      <c r="I12" s="29">
        <v>324076.37</v>
      </c>
      <c r="J12" s="31">
        <v>0.11634330490774068</v>
      </c>
      <c r="K12" s="31">
        <v>0.54787096774193544</v>
      </c>
      <c r="M12" s="7">
        <v>311</v>
      </c>
      <c r="N12" s="7" t="s">
        <v>158</v>
      </c>
      <c r="O12" s="7" t="s">
        <v>145</v>
      </c>
      <c r="P12" s="7">
        <v>54</v>
      </c>
      <c r="Q12" s="7">
        <v>53</v>
      </c>
      <c r="R12" s="7">
        <v>54</v>
      </c>
      <c r="S12" s="29">
        <v>5937.3</v>
      </c>
      <c r="T12" s="29">
        <v>5335.32</v>
      </c>
      <c r="U12" s="29">
        <v>326.2</v>
      </c>
      <c r="V12" s="31">
        <v>6.1139725452269034E-2</v>
      </c>
      <c r="W12" s="31">
        <v>0.48148148148148145</v>
      </c>
    </row>
    <row r="13" spans="1:23">
      <c r="A13" s="7">
        <v>403</v>
      </c>
      <c r="B13" s="7" t="s">
        <v>159</v>
      </c>
      <c r="C13" s="7" t="s">
        <v>160</v>
      </c>
      <c r="D13" s="7">
        <v>22246</v>
      </c>
      <c r="E13" s="7">
        <v>18783</v>
      </c>
      <c r="F13" s="7">
        <v>22246</v>
      </c>
      <c r="G13" s="29">
        <v>2891757.54</v>
      </c>
      <c r="H13" s="29">
        <v>2598494.44</v>
      </c>
      <c r="I13" s="29">
        <v>311902.82</v>
      </c>
      <c r="J13" s="31">
        <v>0.120032129066245</v>
      </c>
      <c r="K13" s="31">
        <v>0.5448619976625011</v>
      </c>
      <c r="M13" s="7">
        <v>705</v>
      </c>
      <c r="N13" s="7" t="s">
        <v>161</v>
      </c>
      <c r="O13" s="7" t="s">
        <v>162</v>
      </c>
      <c r="P13" s="7">
        <v>70</v>
      </c>
      <c r="Q13" s="7">
        <v>70</v>
      </c>
      <c r="R13" s="7">
        <v>70</v>
      </c>
      <c r="S13" s="29">
        <v>8399.2999999999993</v>
      </c>
      <c r="T13" s="29">
        <v>7538.3</v>
      </c>
      <c r="U13" s="29">
        <v>370.61</v>
      </c>
      <c r="V13" s="31">
        <v>4.9163604526219443E-2</v>
      </c>
      <c r="W13" s="31">
        <v>0.5</v>
      </c>
    </row>
    <row r="14" spans="1:23">
      <c r="A14" s="7">
        <v>1014</v>
      </c>
      <c r="B14" s="7" t="s">
        <v>163</v>
      </c>
      <c r="C14" s="7" t="s">
        <v>164</v>
      </c>
      <c r="D14" s="7">
        <v>19298</v>
      </c>
      <c r="E14" s="7">
        <v>16623</v>
      </c>
      <c r="F14" s="7">
        <v>57803</v>
      </c>
      <c r="G14" s="29">
        <v>2888993.94</v>
      </c>
      <c r="H14" s="29">
        <v>2596454.04</v>
      </c>
      <c r="I14" s="29">
        <v>318451.43</v>
      </c>
      <c r="J14" s="31">
        <v>0.12264859115318674</v>
      </c>
      <c r="K14" s="31">
        <v>0.54746605865892839</v>
      </c>
      <c r="M14" s="7">
        <v>1348</v>
      </c>
      <c r="N14" s="7" t="s">
        <v>165</v>
      </c>
      <c r="O14" s="7" t="s">
        <v>166</v>
      </c>
      <c r="P14" s="7">
        <v>271</v>
      </c>
      <c r="Q14" s="7">
        <v>271</v>
      </c>
      <c r="R14" s="7">
        <v>271</v>
      </c>
      <c r="S14" s="29">
        <v>3059.59</v>
      </c>
      <c r="T14" s="29">
        <v>2750.03</v>
      </c>
      <c r="U14" s="29">
        <v>383.85</v>
      </c>
      <c r="V14" s="31">
        <v>0.13958029548768561</v>
      </c>
      <c r="W14" s="31">
        <v>0.52029520295202947</v>
      </c>
    </row>
    <row r="15" spans="1:23">
      <c r="A15" s="7">
        <v>627</v>
      </c>
      <c r="B15" s="7" t="s">
        <v>167</v>
      </c>
      <c r="C15" s="7" t="s">
        <v>168</v>
      </c>
      <c r="D15" s="7">
        <v>10617</v>
      </c>
      <c r="E15" s="7">
        <v>9825</v>
      </c>
      <c r="F15" s="7">
        <v>31735</v>
      </c>
      <c r="G15" s="29">
        <v>1269082.6499999999</v>
      </c>
      <c r="H15" s="29">
        <v>1140770.95</v>
      </c>
      <c r="I15" s="29">
        <v>126278.51</v>
      </c>
      <c r="J15" s="31">
        <v>0.11069576237017606</v>
      </c>
      <c r="K15" s="31">
        <v>0.55241593670528399</v>
      </c>
      <c r="M15" s="7">
        <v>303</v>
      </c>
      <c r="N15" s="7" t="s">
        <v>169</v>
      </c>
      <c r="O15" s="7" t="s">
        <v>145</v>
      </c>
      <c r="P15" s="7">
        <v>35</v>
      </c>
      <c r="Q15" s="7">
        <v>35</v>
      </c>
      <c r="R15" s="7">
        <v>35</v>
      </c>
      <c r="S15" s="29">
        <v>13999.65</v>
      </c>
      <c r="T15" s="29">
        <v>12593.65</v>
      </c>
      <c r="U15" s="29">
        <v>391.13</v>
      </c>
      <c r="V15" s="31">
        <v>3.1057715594764029E-2</v>
      </c>
      <c r="W15" s="31">
        <v>0.54285714285714282</v>
      </c>
    </row>
    <row r="16" spans="1:23">
      <c r="A16" s="7">
        <v>1351</v>
      </c>
      <c r="B16" s="7" t="s">
        <v>170</v>
      </c>
      <c r="C16" s="7" t="s">
        <v>171</v>
      </c>
      <c r="D16" s="7">
        <v>442</v>
      </c>
      <c r="E16" s="7">
        <v>442</v>
      </c>
      <c r="F16" s="7">
        <v>442</v>
      </c>
      <c r="G16" s="29">
        <v>663000</v>
      </c>
      <c r="H16" s="29">
        <v>595395</v>
      </c>
      <c r="I16" s="29">
        <v>69656.81</v>
      </c>
      <c r="J16" s="31">
        <v>0.11699260155023135</v>
      </c>
      <c r="K16" s="31">
        <v>0.50678733031674206</v>
      </c>
      <c r="M16" s="7">
        <v>127</v>
      </c>
      <c r="N16" s="7" t="s">
        <v>172</v>
      </c>
      <c r="O16" s="7" t="s">
        <v>173</v>
      </c>
      <c r="P16" s="7">
        <v>27</v>
      </c>
      <c r="Q16" s="7">
        <v>25</v>
      </c>
      <c r="R16" s="7">
        <v>27</v>
      </c>
      <c r="S16" s="29">
        <v>8909.73</v>
      </c>
      <c r="T16" s="29">
        <v>8154.03</v>
      </c>
      <c r="U16" s="29">
        <v>479.28</v>
      </c>
      <c r="V16" s="31">
        <v>5.8778297357257696E-2</v>
      </c>
      <c r="W16" s="31">
        <v>0.51851851851851849</v>
      </c>
    </row>
    <row r="17" spans="1:11">
      <c r="A17" s="7">
        <v>1349</v>
      </c>
      <c r="B17" s="7" t="s">
        <v>174</v>
      </c>
      <c r="C17" s="7" t="s">
        <v>175</v>
      </c>
      <c r="D17" s="7">
        <v>592</v>
      </c>
      <c r="E17" s="7">
        <v>592</v>
      </c>
      <c r="F17" s="7">
        <v>592</v>
      </c>
      <c r="G17" s="29">
        <v>267607.67999999999</v>
      </c>
      <c r="H17" s="29">
        <v>240496.68</v>
      </c>
      <c r="I17" s="29">
        <v>30289.8</v>
      </c>
      <c r="J17" s="31">
        <v>0.12594685298774186</v>
      </c>
      <c r="K17" s="31">
        <v>0.58108108108108103</v>
      </c>
    </row>
    <row r="18" spans="1:11">
      <c r="A18" s="7">
        <v>1355</v>
      </c>
      <c r="B18" s="7" t="s">
        <v>176</v>
      </c>
      <c r="C18" s="7" t="s">
        <v>177</v>
      </c>
      <c r="D18" s="7">
        <v>484</v>
      </c>
      <c r="E18" s="7">
        <v>484</v>
      </c>
      <c r="F18" s="7">
        <v>484</v>
      </c>
      <c r="G18" s="29">
        <v>257768.72</v>
      </c>
      <c r="H18" s="29">
        <v>231765.46</v>
      </c>
      <c r="I18" s="29">
        <v>33443.01</v>
      </c>
      <c r="J18" s="31">
        <v>0.1442967817551416</v>
      </c>
      <c r="K18" s="31">
        <v>0.55785123966942152</v>
      </c>
    </row>
    <row r="19" spans="1:11">
      <c r="A19" s="7">
        <v>1350</v>
      </c>
      <c r="B19" s="7" t="s">
        <v>178</v>
      </c>
      <c r="C19" s="7" t="s">
        <v>179</v>
      </c>
      <c r="D19" s="7">
        <v>652</v>
      </c>
      <c r="E19" s="7">
        <v>652</v>
      </c>
      <c r="F19" s="7">
        <v>652</v>
      </c>
      <c r="G19" s="29">
        <v>232829.2</v>
      </c>
      <c r="H19" s="29">
        <v>209268.38</v>
      </c>
      <c r="I19" s="29">
        <v>27178.1</v>
      </c>
      <c r="J19" s="31">
        <v>0.12987198543802939</v>
      </c>
      <c r="K19" s="31">
        <v>0.53374233128834359</v>
      </c>
    </row>
    <row r="20" spans="1:11">
      <c r="A20" s="7">
        <v>1353</v>
      </c>
      <c r="B20" s="7" t="s">
        <v>180</v>
      </c>
      <c r="C20" s="7" t="s">
        <v>181</v>
      </c>
      <c r="D20" s="7">
        <v>484</v>
      </c>
      <c r="E20" s="7">
        <v>484</v>
      </c>
      <c r="F20" s="7">
        <v>484</v>
      </c>
      <c r="G20" s="29">
        <v>223356.32</v>
      </c>
      <c r="H20" s="29">
        <v>200704.87</v>
      </c>
      <c r="I20" s="29">
        <v>25531.17</v>
      </c>
      <c r="J20" s="31">
        <v>0.12720752615519493</v>
      </c>
      <c r="K20" s="31">
        <v>0.55991735537190079</v>
      </c>
    </row>
    <row r="21" spans="1:11">
      <c r="A21" s="7">
        <v>1363</v>
      </c>
      <c r="B21" s="7" t="s">
        <v>182</v>
      </c>
      <c r="C21" s="7" t="s">
        <v>183</v>
      </c>
      <c r="D21" s="7">
        <v>650</v>
      </c>
      <c r="E21" s="7">
        <v>650</v>
      </c>
      <c r="F21" s="7">
        <v>650</v>
      </c>
      <c r="G21" s="29">
        <v>140283</v>
      </c>
      <c r="H21" s="29">
        <v>126006.93</v>
      </c>
      <c r="I21" s="29">
        <v>19102.849999999999</v>
      </c>
      <c r="J21" s="31">
        <v>0.1516015825478805</v>
      </c>
      <c r="K21" s="31">
        <v>0.56461538461538463</v>
      </c>
    </row>
    <row r="25" spans="1:11">
      <c r="A25" s="27" t="s">
        <v>184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pans="1:11" ht="26.4">
      <c r="A26" s="3" t="s">
        <v>137</v>
      </c>
      <c r="B26" s="4" t="s">
        <v>18</v>
      </c>
      <c r="C26" s="4" t="s">
        <v>19</v>
      </c>
      <c r="D26" s="4" t="s">
        <v>20</v>
      </c>
      <c r="E26" s="4" t="s">
        <v>21</v>
      </c>
      <c r="F26" s="4" t="s">
        <v>22</v>
      </c>
      <c r="G26" s="4" t="s">
        <v>75</v>
      </c>
      <c r="H26" s="4" t="s">
        <v>23</v>
      </c>
      <c r="I26" s="4" t="s">
        <v>24</v>
      </c>
      <c r="J26" s="4" t="s">
        <v>25</v>
      </c>
      <c r="K26" s="5" t="s">
        <v>26</v>
      </c>
    </row>
    <row r="27" spans="1:11">
      <c r="A27" s="6" t="s">
        <v>139</v>
      </c>
      <c r="B27" s="6">
        <v>17325</v>
      </c>
      <c r="C27" s="6">
        <v>15164</v>
      </c>
      <c r="D27" s="6">
        <v>17325</v>
      </c>
      <c r="E27" s="28">
        <v>6929653.5</v>
      </c>
      <c r="F27" s="28">
        <v>6226935.1200000001</v>
      </c>
      <c r="G27" s="28">
        <v>702728</v>
      </c>
      <c r="H27" s="28">
        <v>756220.76</v>
      </c>
      <c r="I27" s="28">
        <v>456.98</v>
      </c>
      <c r="J27" s="30">
        <v>0.1214434943397965</v>
      </c>
      <c r="K27" s="30">
        <v>0.54926406926406923</v>
      </c>
    </row>
    <row r="28" spans="1:11">
      <c r="A28" s="7" t="s">
        <v>143</v>
      </c>
      <c r="B28" s="7">
        <v>24551</v>
      </c>
      <c r="C28" s="7">
        <v>20386</v>
      </c>
      <c r="D28" s="7">
        <v>73734</v>
      </c>
      <c r="E28" s="29">
        <v>4431942.66</v>
      </c>
      <c r="F28" s="29">
        <v>3982856.45</v>
      </c>
      <c r="G28" s="29">
        <v>449091.67</v>
      </c>
      <c r="H28" s="29">
        <v>494636.92</v>
      </c>
      <c r="I28" s="29">
        <v>217.4</v>
      </c>
      <c r="J28" s="31">
        <v>0.12419150080088875</v>
      </c>
      <c r="K28" s="31">
        <v>0.54971284265406706</v>
      </c>
    </row>
    <row r="29" spans="1:11">
      <c r="A29" s="7" t="s">
        <v>147</v>
      </c>
      <c r="B29" s="7">
        <v>13729</v>
      </c>
      <c r="C29" s="7">
        <v>12299</v>
      </c>
      <c r="D29" s="7">
        <v>13729</v>
      </c>
      <c r="E29" s="29">
        <v>4118425.42</v>
      </c>
      <c r="F29" s="29">
        <v>3700783.54</v>
      </c>
      <c r="G29" s="29">
        <v>417649.5</v>
      </c>
      <c r="H29" s="29">
        <v>427455.57</v>
      </c>
      <c r="I29" s="29">
        <v>334.86</v>
      </c>
      <c r="J29" s="31">
        <v>0.11550407241597276</v>
      </c>
      <c r="K29" s="31">
        <v>0.54534197683735164</v>
      </c>
    </row>
    <row r="30" spans="1:11">
      <c r="A30" s="7" t="s">
        <v>151</v>
      </c>
      <c r="B30" s="7">
        <v>12487</v>
      </c>
      <c r="C30" s="7">
        <v>11355</v>
      </c>
      <c r="D30" s="7">
        <v>37587</v>
      </c>
      <c r="E30" s="29">
        <v>3694843.2</v>
      </c>
      <c r="F30" s="29">
        <v>3320250.72</v>
      </c>
      <c r="G30" s="29">
        <v>374595.19</v>
      </c>
      <c r="H30" s="29">
        <v>383011.1</v>
      </c>
      <c r="I30" s="29">
        <v>325.39</v>
      </c>
      <c r="J30" s="31">
        <v>0.11535607768801268</v>
      </c>
      <c r="K30" s="31">
        <v>0.54496676543605349</v>
      </c>
    </row>
    <row r="31" spans="1:11">
      <c r="A31" s="7" t="s">
        <v>154</v>
      </c>
      <c r="B31" s="7">
        <v>21035</v>
      </c>
      <c r="C31" s="7">
        <v>17869</v>
      </c>
      <c r="D31" s="7">
        <v>62956</v>
      </c>
      <c r="E31" s="29">
        <v>3147800</v>
      </c>
      <c r="F31" s="29">
        <v>2828708.5</v>
      </c>
      <c r="G31" s="29">
        <v>319091.5</v>
      </c>
      <c r="H31" s="29">
        <v>350421.03</v>
      </c>
      <c r="I31" s="29">
        <v>176.16</v>
      </c>
      <c r="J31" s="31">
        <v>0.12388021954188635</v>
      </c>
      <c r="K31" s="31">
        <v>0.54556691228904208</v>
      </c>
    </row>
    <row r="32" spans="1:11">
      <c r="A32" s="7" t="s">
        <v>157</v>
      </c>
      <c r="B32" s="7">
        <v>15540</v>
      </c>
      <c r="C32" s="7">
        <v>13758</v>
      </c>
      <c r="D32" s="7">
        <v>15540</v>
      </c>
      <c r="E32" s="29">
        <v>3113844.6</v>
      </c>
      <c r="F32" s="29">
        <v>2798044.1</v>
      </c>
      <c r="G32" s="29">
        <v>315800.5</v>
      </c>
      <c r="H32" s="29">
        <v>325146.96000000002</v>
      </c>
      <c r="I32" s="29">
        <v>226.33</v>
      </c>
      <c r="J32" s="31">
        <v>0.11620508768964721</v>
      </c>
      <c r="K32" s="31">
        <v>0.54806949806949812</v>
      </c>
    </row>
    <row r="33" spans="1:11">
      <c r="A33" s="7" t="s">
        <v>160</v>
      </c>
      <c r="B33" s="7">
        <v>22246</v>
      </c>
      <c r="C33" s="7">
        <v>18783</v>
      </c>
      <c r="D33" s="7">
        <v>22246</v>
      </c>
      <c r="E33" s="29">
        <v>2891757.54</v>
      </c>
      <c r="F33" s="29">
        <v>2598494.44</v>
      </c>
      <c r="G33" s="29">
        <v>293263.09999999998</v>
      </c>
      <c r="H33" s="29">
        <v>311902.82</v>
      </c>
      <c r="I33" s="29">
        <v>153.96</v>
      </c>
      <c r="J33" s="31">
        <v>0.120032129066245</v>
      </c>
      <c r="K33" s="31">
        <v>0.5448619976625011</v>
      </c>
    </row>
    <row r="34" spans="1:11">
      <c r="A34" s="7" t="s">
        <v>164</v>
      </c>
      <c r="B34" s="7">
        <v>19298</v>
      </c>
      <c r="C34" s="7">
        <v>16623</v>
      </c>
      <c r="D34" s="7">
        <v>57803</v>
      </c>
      <c r="E34" s="29">
        <v>2888993.94</v>
      </c>
      <c r="F34" s="29">
        <v>2596454.04</v>
      </c>
      <c r="G34" s="29">
        <v>292550.63</v>
      </c>
      <c r="H34" s="29">
        <v>318451.43</v>
      </c>
      <c r="I34" s="29">
        <v>173.79</v>
      </c>
      <c r="J34" s="31">
        <v>0.12264859115318674</v>
      </c>
      <c r="K34" s="31">
        <v>0.54746605865892839</v>
      </c>
    </row>
    <row r="35" spans="1:11">
      <c r="A35" s="7" t="s">
        <v>168</v>
      </c>
      <c r="B35" s="7">
        <v>10984</v>
      </c>
      <c r="C35" s="7">
        <v>10136</v>
      </c>
      <c r="D35" s="7">
        <v>32726</v>
      </c>
      <c r="E35" s="29">
        <v>1309522.02</v>
      </c>
      <c r="F35" s="29">
        <v>1177185.6200000001</v>
      </c>
      <c r="G35" s="29">
        <v>132338.73000000001</v>
      </c>
      <c r="H35" s="29">
        <v>129813.96</v>
      </c>
      <c r="I35" s="29">
        <v>129.19999999999999</v>
      </c>
      <c r="J35" s="31">
        <v>0.11027484348645035</v>
      </c>
      <c r="K35" s="31">
        <v>0.55152949745083757</v>
      </c>
    </row>
    <row r="36" spans="1:11">
      <c r="A36" s="7" t="s">
        <v>171</v>
      </c>
      <c r="B36" s="7">
        <v>442</v>
      </c>
      <c r="C36" s="7">
        <v>442</v>
      </c>
      <c r="D36" s="7">
        <v>442</v>
      </c>
      <c r="E36" s="29">
        <v>663000</v>
      </c>
      <c r="F36" s="29">
        <v>595395</v>
      </c>
      <c r="G36" s="29">
        <v>67605</v>
      </c>
      <c r="H36" s="29">
        <v>69656.81</v>
      </c>
      <c r="I36" s="29">
        <v>1500</v>
      </c>
      <c r="J36" s="31">
        <v>0.11699260155023135</v>
      </c>
      <c r="K36" s="31">
        <v>0.50678733031674206</v>
      </c>
    </row>
    <row r="37" spans="1:11">
      <c r="A37" s="7" t="s">
        <v>185</v>
      </c>
      <c r="B37" s="7">
        <v>3156</v>
      </c>
      <c r="C37" s="7">
        <v>3061</v>
      </c>
      <c r="D37" s="7">
        <v>9436</v>
      </c>
      <c r="E37" s="29">
        <v>371034.64</v>
      </c>
      <c r="F37" s="29">
        <v>333327.26</v>
      </c>
      <c r="G37" s="29">
        <v>37708.03</v>
      </c>
      <c r="H37" s="29">
        <v>40891.379999999997</v>
      </c>
      <c r="I37" s="29">
        <v>121.21</v>
      </c>
      <c r="J37" s="31">
        <v>0.12267637516355547</v>
      </c>
      <c r="K37" s="31">
        <v>0.56083650190114065</v>
      </c>
    </row>
    <row r="38" spans="1:11">
      <c r="A38" s="7" t="s">
        <v>175</v>
      </c>
      <c r="B38" s="7">
        <v>592</v>
      </c>
      <c r="C38" s="7">
        <v>592</v>
      </c>
      <c r="D38" s="7">
        <v>592</v>
      </c>
      <c r="E38" s="29">
        <v>267607.67999999999</v>
      </c>
      <c r="F38" s="29">
        <v>240496.68</v>
      </c>
      <c r="G38" s="29">
        <v>27111</v>
      </c>
      <c r="H38" s="29">
        <v>30289.8</v>
      </c>
      <c r="I38" s="29">
        <v>452.04</v>
      </c>
      <c r="J38" s="31">
        <v>0.12594685298774186</v>
      </c>
      <c r="K38" s="31">
        <v>0.58108108108108103</v>
      </c>
    </row>
    <row r="39" spans="1:11">
      <c r="A39" s="7" t="s">
        <v>177</v>
      </c>
      <c r="B39" s="7">
        <v>484</v>
      </c>
      <c r="C39" s="7">
        <v>484</v>
      </c>
      <c r="D39" s="7">
        <v>484</v>
      </c>
      <c r="E39" s="29">
        <v>257768.72</v>
      </c>
      <c r="F39" s="29">
        <v>231765.46</v>
      </c>
      <c r="G39" s="29">
        <v>26003.52</v>
      </c>
      <c r="H39" s="29">
        <v>33443.01</v>
      </c>
      <c r="I39" s="29">
        <v>532.58000000000004</v>
      </c>
      <c r="J39" s="31">
        <v>0.1442967817551416</v>
      </c>
      <c r="K39" s="31">
        <v>0.55785123966942152</v>
      </c>
    </row>
    <row r="40" spans="1:11">
      <c r="A40" s="7" t="s">
        <v>179</v>
      </c>
      <c r="B40" s="7">
        <v>652</v>
      </c>
      <c r="C40" s="7">
        <v>652</v>
      </c>
      <c r="D40" s="7">
        <v>652</v>
      </c>
      <c r="E40" s="29">
        <v>232829.2</v>
      </c>
      <c r="F40" s="29">
        <v>209268.38</v>
      </c>
      <c r="G40" s="29">
        <v>23561.91</v>
      </c>
      <c r="H40" s="29">
        <v>27178.1</v>
      </c>
      <c r="I40" s="29">
        <v>357.1</v>
      </c>
      <c r="J40" s="31">
        <v>0.12987198543802939</v>
      </c>
      <c r="K40" s="31">
        <v>0.53374233128834359</v>
      </c>
    </row>
    <row r="41" spans="1:11">
      <c r="A41" s="7" t="s">
        <v>181</v>
      </c>
      <c r="B41" s="7">
        <v>484</v>
      </c>
      <c r="C41" s="7">
        <v>484</v>
      </c>
      <c r="D41" s="7">
        <v>484</v>
      </c>
      <c r="E41" s="29">
        <v>223356.32</v>
      </c>
      <c r="F41" s="29">
        <v>200704.87</v>
      </c>
      <c r="G41" s="29">
        <v>22651.45</v>
      </c>
      <c r="H41" s="29">
        <v>25531.17</v>
      </c>
      <c r="I41" s="29">
        <v>461.48</v>
      </c>
      <c r="J41" s="31">
        <v>0.12720752615519493</v>
      </c>
      <c r="K41" s="31">
        <v>0.55991735537190079</v>
      </c>
    </row>
  </sheetData>
  <mergeCells count="1">
    <mergeCell ref="A3:C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1"/>
  <sheetViews>
    <sheetView showGridLines="0" workbookViewId="0">
      <pane ySplit="5" topLeftCell="A6" activePane="bottomLeft" state="frozen"/>
      <selection pane="bottomLeft" activeCell="A3" sqref="A3:B3"/>
    </sheetView>
  </sheetViews>
  <sheetFormatPr defaultRowHeight="13.8"/>
  <cols>
    <col min="1" max="3" width="24" customWidth="1"/>
    <col min="4" max="4" width="44" customWidth="1"/>
    <col min="5" max="5" width="58" customWidth="1"/>
  </cols>
  <sheetData>
    <row r="2" spans="1:14" ht="21.6" thickBot="1">
      <c r="A2" s="12" t="s">
        <v>186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42" t="s">
        <v>187</v>
      </c>
      <c r="B3" s="42"/>
    </row>
    <row r="5" spans="1:14">
      <c r="A5" s="3" t="s">
        <v>188</v>
      </c>
      <c r="B5" s="4" t="s">
        <v>189</v>
      </c>
      <c r="C5" s="4" t="s">
        <v>190</v>
      </c>
      <c r="D5" s="4" t="s">
        <v>191</v>
      </c>
      <c r="E5" s="5" t="s">
        <v>192</v>
      </c>
    </row>
    <row r="6" spans="1:14">
      <c r="A6" s="34" t="s">
        <v>193</v>
      </c>
      <c r="B6" s="34" t="s">
        <v>194</v>
      </c>
      <c r="C6" s="36">
        <v>180519</v>
      </c>
      <c r="D6" s="34" t="s">
        <v>195</v>
      </c>
      <c r="E6" s="34" t="s">
        <v>196</v>
      </c>
    </row>
    <row r="7" spans="1:14">
      <c r="A7" s="35" t="s">
        <v>197</v>
      </c>
      <c r="B7" s="35" t="s">
        <v>198</v>
      </c>
      <c r="C7" s="37">
        <v>65752</v>
      </c>
      <c r="D7" s="35" t="s">
        <v>199</v>
      </c>
      <c r="E7" s="35" t="s">
        <v>200</v>
      </c>
    </row>
    <row r="8" spans="1:14">
      <c r="A8" s="35" t="s">
        <v>201</v>
      </c>
      <c r="B8" s="35" t="s">
        <v>202</v>
      </c>
      <c r="C8" s="38">
        <v>36784734.310000002</v>
      </c>
      <c r="D8" s="35" t="s">
        <v>203</v>
      </c>
      <c r="E8" s="35" t="s">
        <v>204</v>
      </c>
    </row>
    <row r="9" spans="1:14">
      <c r="A9" s="35" t="s">
        <v>205</v>
      </c>
      <c r="B9" s="35" t="s">
        <v>206</v>
      </c>
      <c r="C9" s="38">
        <v>3966902.97</v>
      </c>
      <c r="D9" s="35" t="s">
        <v>207</v>
      </c>
      <c r="E9" s="35" t="s">
        <v>196</v>
      </c>
    </row>
    <row r="10" spans="1:14">
      <c r="A10" s="35" t="s">
        <v>208</v>
      </c>
      <c r="B10" s="35" t="s">
        <v>209</v>
      </c>
      <c r="C10" s="39">
        <v>0.54829132000000003</v>
      </c>
      <c r="D10" s="35" t="s">
        <v>210</v>
      </c>
      <c r="E10" s="35" t="s">
        <v>211</v>
      </c>
    </row>
    <row r="11" spans="1:14">
      <c r="A11" s="35" t="s">
        <v>212</v>
      </c>
      <c r="B11" s="35" t="s">
        <v>213</v>
      </c>
      <c r="C11" s="38">
        <v>559.44662200000005</v>
      </c>
      <c r="D11" s="35" t="s">
        <v>214</v>
      </c>
      <c r="E11" s="35" t="s">
        <v>215</v>
      </c>
    </row>
  </sheetData>
  <mergeCells count="1">
    <mergeCell ref="A3:B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20"/>
  <sheetViews>
    <sheetView showGridLines="0" workbookViewId="0">
      <pane ySplit="5" topLeftCell="A6" activePane="bottomLeft" state="frozen"/>
      <selection pane="bottomLeft" activeCell="A3" sqref="A3:C3"/>
    </sheetView>
  </sheetViews>
  <sheetFormatPr defaultRowHeight="13.8"/>
  <cols>
    <col min="1" max="4" width="24" customWidth="1"/>
    <col min="5" max="5" width="58" customWidth="1"/>
  </cols>
  <sheetData>
    <row r="2" spans="1:14" ht="21.6" thickBot="1">
      <c r="A2" s="12" t="s">
        <v>216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42" t="s">
        <v>217</v>
      </c>
      <c r="B3" s="42"/>
      <c r="C3" s="42"/>
    </row>
    <row r="5" spans="1:14">
      <c r="A5" s="3" t="s">
        <v>218</v>
      </c>
      <c r="B5" s="4" t="s">
        <v>219</v>
      </c>
      <c r="C5" s="4" t="s">
        <v>220</v>
      </c>
      <c r="D5" s="4" t="s">
        <v>221</v>
      </c>
      <c r="E5" s="5" t="s">
        <v>222</v>
      </c>
    </row>
    <row r="6" spans="1:14">
      <c r="A6" s="34" t="s">
        <v>223</v>
      </c>
      <c r="B6" s="34">
        <v>180519</v>
      </c>
      <c r="C6" s="34">
        <v>180519</v>
      </c>
      <c r="D6" s="34" t="s">
        <v>224</v>
      </c>
      <c r="E6" s="34" t="s">
        <v>225</v>
      </c>
    </row>
    <row r="7" spans="1:14">
      <c r="A7" s="35" t="s">
        <v>226</v>
      </c>
      <c r="B7" s="35">
        <v>53</v>
      </c>
      <c r="C7" s="35">
        <v>53</v>
      </c>
      <c r="D7" s="35" t="s">
        <v>224</v>
      </c>
      <c r="E7" s="35" t="s">
        <v>227</v>
      </c>
    </row>
    <row r="8" spans="1:14">
      <c r="A8" s="35" t="s">
        <v>228</v>
      </c>
      <c r="B8" s="35">
        <v>0</v>
      </c>
      <c r="C8" s="35">
        <v>0</v>
      </c>
      <c r="D8" s="35" t="s">
        <v>224</v>
      </c>
      <c r="E8" s="35" t="s">
        <v>229</v>
      </c>
    </row>
    <row r="9" spans="1:14">
      <c r="A9" s="35" t="s">
        <v>230</v>
      </c>
      <c r="B9" s="35">
        <v>180519</v>
      </c>
      <c r="C9" s="35">
        <v>180519</v>
      </c>
      <c r="D9" s="35" t="s">
        <v>224</v>
      </c>
      <c r="E9" s="35" t="s">
        <v>231</v>
      </c>
    </row>
    <row r="10" spans="1:14">
      <c r="A10" s="35" t="s">
        <v>232</v>
      </c>
      <c r="B10" s="35">
        <v>0</v>
      </c>
      <c r="C10" s="35">
        <v>0</v>
      </c>
      <c r="D10" s="35" t="s">
        <v>224</v>
      </c>
      <c r="E10" s="35" t="s">
        <v>233</v>
      </c>
    </row>
    <row r="11" spans="1:14">
      <c r="A11" s="35" t="s">
        <v>234</v>
      </c>
      <c r="B11" s="35">
        <v>0</v>
      </c>
      <c r="C11" s="35">
        <v>0</v>
      </c>
      <c r="D11" s="35" t="s">
        <v>224</v>
      </c>
      <c r="E11" s="35" t="s">
        <v>233</v>
      </c>
    </row>
    <row r="12" spans="1:14">
      <c r="A12" s="35" t="s">
        <v>235</v>
      </c>
      <c r="B12" s="35">
        <v>0</v>
      </c>
      <c r="C12" s="35">
        <v>0</v>
      </c>
      <c r="D12" s="35" t="s">
        <v>224</v>
      </c>
      <c r="E12" s="35" t="s">
        <v>236</v>
      </c>
    </row>
    <row r="13" spans="1:14">
      <c r="A13" s="35" t="s">
        <v>237</v>
      </c>
      <c r="B13" s="35">
        <v>0</v>
      </c>
      <c r="C13" s="35">
        <v>0</v>
      </c>
      <c r="D13" s="35" t="s">
        <v>224</v>
      </c>
      <c r="E13" s="35" t="s">
        <v>238</v>
      </c>
    </row>
    <row r="14" spans="1:14">
      <c r="A14" s="35" t="s">
        <v>239</v>
      </c>
      <c r="B14" s="35">
        <v>0</v>
      </c>
      <c r="C14" s="35">
        <v>0</v>
      </c>
      <c r="D14" s="35" t="s">
        <v>224</v>
      </c>
      <c r="E14" s="35" t="s">
        <v>240</v>
      </c>
    </row>
    <row r="15" spans="1:14">
      <c r="A15" s="35" t="s">
        <v>241</v>
      </c>
      <c r="B15" s="35">
        <v>0</v>
      </c>
      <c r="C15" s="35">
        <v>0</v>
      </c>
      <c r="D15" s="35" t="s">
        <v>224</v>
      </c>
      <c r="E15" s="35" t="s">
        <v>242</v>
      </c>
    </row>
    <row r="16" spans="1:14">
      <c r="A16" s="35" t="s">
        <v>243</v>
      </c>
      <c r="B16" s="35">
        <v>0</v>
      </c>
      <c r="C16" s="35">
        <v>0</v>
      </c>
      <c r="D16" s="35" t="s">
        <v>224</v>
      </c>
      <c r="E16" s="35" t="s">
        <v>244</v>
      </c>
    </row>
    <row r="17" spans="1:5">
      <c r="A17" s="35" t="s">
        <v>245</v>
      </c>
      <c r="B17" s="35">
        <v>180519</v>
      </c>
      <c r="C17" s="35">
        <v>180519</v>
      </c>
      <c r="D17" s="35" t="s">
        <v>246</v>
      </c>
      <c r="E17" s="35" t="s">
        <v>247</v>
      </c>
    </row>
    <row r="18" spans="1:5">
      <c r="A18" s="35" t="s">
        <v>248</v>
      </c>
      <c r="B18" s="35"/>
      <c r="C18" s="35">
        <v>155679</v>
      </c>
      <c r="D18" s="35" t="s">
        <v>246</v>
      </c>
      <c r="E18" s="35" t="s">
        <v>249</v>
      </c>
    </row>
    <row r="19" spans="1:5" ht="26.4">
      <c r="A19" s="35" t="s">
        <v>250</v>
      </c>
      <c r="B19" s="35">
        <v>0</v>
      </c>
      <c r="C19" s="35">
        <v>9737</v>
      </c>
      <c r="D19" s="35" t="s">
        <v>246</v>
      </c>
      <c r="E19" s="35" t="s">
        <v>251</v>
      </c>
    </row>
    <row r="20" spans="1:5">
      <c r="A20" s="40"/>
      <c r="B20" s="40"/>
      <c r="C20" s="40"/>
      <c r="D20" s="40"/>
      <c r="E20" s="40"/>
    </row>
  </sheetData>
  <mergeCells count="1">
    <mergeCell ref="A3:C3"/>
  </mergeCells>
  <conditionalFormatting sqref="D6:D20">
    <cfRule type="containsText" dxfId="0" priority="1" operator="containsText" text="Documented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423"/>
  <sheetViews>
    <sheetView showGridLines="0" workbookViewId="0">
      <pane ySplit="3" topLeftCell="A4" activePane="bottomLeft" state="frozen"/>
      <selection pane="bottomLeft"/>
    </sheetView>
  </sheetViews>
  <sheetFormatPr defaultRowHeight="13.8"/>
  <cols>
    <col min="1" max="37" width="16" customWidth="1"/>
  </cols>
  <sheetData>
    <row r="1" spans="1:37" ht="17.399999999999999">
      <c r="A1" s="1" t="s">
        <v>252</v>
      </c>
      <c r="Q1" t="s">
        <v>253</v>
      </c>
      <c r="R1" t="s">
        <v>254</v>
      </c>
      <c r="S1" t="s">
        <v>255</v>
      </c>
      <c r="T1" t="s">
        <v>256</v>
      </c>
      <c r="U1" t="s">
        <v>257</v>
      </c>
      <c r="V1" t="s">
        <v>9</v>
      </c>
      <c r="X1" t="s">
        <v>1</v>
      </c>
      <c r="Y1" t="s">
        <v>254</v>
      </c>
      <c r="AA1" t="s">
        <v>258</v>
      </c>
      <c r="AB1" t="s">
        <v>254</v>
      </c>
      <c r="AD1" t="s">
        <v>259</v>
      </c>
      <c r="AE1" t="s">
        <v>9</v>
      </c>
      <c r="AG1" t="s">
        <v>260</v>
      </c>
      <c r="AH1" t="s">
        <v>254</v>
      </c>
      <c r="AJ1" t="s">
        <v>261</v>
      </c>
      <c r="AK1" t="s">
        <v>257</v>
      </c>
    </row>
    <row r="2" spans="1:37">
      <c r="Q2" t="s">
        <v>30</v>
      </c>
      <c r="R2" s="8">
        <f>SUMIFS($G$32:$G$423,$A$32:$A$423,Dashboard!$B$4,$B$32:$B$423,Dashboard!$E$4,$C$32:$C$423,Q2)/1000000</f>
        <v>1.0515900600000001</v>
      </c>
      <c r="S2" s="9">
        <f>SUMIFS($H$32:$H$423,$A$32:$A$423,Dashboard!$B$4,$B$32:$B$423,Dashboard!$E$4,$C$32:$C$423,Q2)</f>
        <v>945382.15</v>
      </c>
      <c r="T2" s="9">
        <f>SUMIFS($J$32:$J$423,$A$32:$A$423,Dashboard!$B$4,$B$32:$B$423,Dashboard!$E$4,$C$32:$C$423,Q2)</f>
        <v>111660.74</v>
      </c>
      <c r="U2">
        <f>SUMIFS($E$32:$E$423,$A$32:$A$423,Dashboard!$B$4,$B$32:$B$423,Dashboard!$E$4,$C$32:$C$423,Q2)</f>
        <v>1787</v>
      </c>
      <c r="V2" s="10">
        <f>IFERROR(SUMIFS($K$32:$K$423,$A$32:$A$423,Dashboard!$B$4,$B$32:$B$423,Dashboard!$E$4,$C$32:$C$423,Q2)/SUMIFS($D$32:$D$423,$A$32:$A$423,Dashboard!$B$4,$B$32:$B$423,Dashboard!$E$4,$C$32:$C$423,Q2),0)</f>
        <v>0.54114994363021418</v>
      </c>
      <c r="X2" t="s">
        <v>82</v>
      </c>
      <c r="Y2" s="8">
        <v>2.2944528799999997</v>
      </c>
      <c r="AA2" t="s">
        <v>77</v>
      </c>
      <c r="AB2" s="8">
        <v>19.095789789999998</v>
      </c>
      <c r="AD2" t="s">
        <v>121</v>
      </c>
      <c r="AE2" s="10">
        <v>0.95267387637662471</v>
      </c>
      <c r="AG2" t="s">
        <v>139</v>
      </c>
      <c r="AH2" s="8">
        <v>6.9296534999999997</v>
      </c>
      <c r="AJ2" t="s">
        <v>127</v>
      </c>
      <c r="AK2">
        <v>15127</v>
      </c>
    </row>
    <row r="3" spans="1:37" ht="26.4">
      <c r="A3" s="3" t="s">
        <v>81</v>
      </c>
      <c r="B3" s="4" t="s">
        <v>74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75</v>
      </c>
      <c r="I3" s="4" t="s">
        <v>23</v>
      </c>
      <c r="J3" s="4" t="s">
        <v>262</v>
      </c>
      <c r="K3" s="4" t="s">
        <v>24</v>
      </c>
      <c r="L3" s="4" t="s">
        <v>76</v>
      </c>
      <c r="M3" s="4" t="s">
        <v>25</v>
      </c>
      <c r="N3" s="5" t="s">
        <v>26</v>
      </c>
      <c r="Q3" t="s">
        <v>33</v>
      </c>
      <c r="R3" s="8">
        <f>SUMIFS($G$32:$G$423,$A$32:$A$423,Dashboard!$B$4,$B$32:$B$423,Dashboard!$E$4,$C$32:$C$423,Q3)/1000000</f>
        <v>0.92700987999999995</v>
      </c>
      <c r="S3" s="9">
        <f>SUMIFS($H$32:$H$423,$A$32:$A$423,Dashboard!$B$4,$B$32:$B$423,Dashboard!$E$4,$C$32:$C$423,Q3)</f>
        <v>833012.42</v>
      </c>
      <c r="T3" s="9">
        <f>SUMIFS($J$32:$J$423,$A$32:$A$423,Dashboard!$B$4,$B$32:$B$423,Dashboard!$E$4,$C$32:$C$423,Q3)</f>
        <v>99140.66</v>
      </c>
      <c r="U3">
        <f>SUMIFS($E$32:$E$423,$A$32:$A$423,Dashboard!$B$4,$B$32:$B$423,Dashboard!$E$4,$C$32:$C$423,Q3)</f>
        <v>1585</v>
      </c>
      <c r="V3" s="10">
        <f>IFERROR(SUMIFS($K$32:$K$423,$A$32:$A$423,Dashboard!$B$4,$B$32:$B$423,Dashboard!$E$4,$C$32:$C$423,Q3)/SUMIFS($D$32:$D$423,$A$32:$A$423,Dashboard!$B$4,$B$32:$B$423,Dashboard!$E$4,$C$32:$C$423,Q3),0)</f>
        <v>0.54853034468175088</v>
      </c>
      <c r="X3" t="s">
        <v>83</v>
      </c>
      <c r="Y3" s="8">
        <v>10.8723966</v>
      </c>
      <c r="AA3" t="s">
        <v>78</v>
      </c>
      <c r="AB3" s="8">
        <v>11.168406630000002</v>
      </c>
      <c r="AD3" t="s">
        <v>122</v>
      </c>
      <c r="AE3" s="10">
        <v>0.76717796212239786</v>
      </c>
      <c r="AG3" t="s">
        <v>143</v>
      </c>
      <c r="AH3" s="8">
        <v>4.4319426599999998</v>
      </c>
      <c r="AJ3" t="s">
        <v>128</v>
      </c>
      <c r="AK3">
        <v>36048</v>
      </c>
    </row>
    <row r="4" spans="1:37">
      <c r="A4" s="6" t="s">
        <v>82</v>
      </c>
      <c r="B4" s="6" t="s">
        <v>2</v>
      </c>
      <c r="C4" s="6">
        <v>11614</v>
      </c>
      <c r="D4" s="6">
        <v>3854</v>
      </c>
      <c r="E4" s="6">
        <v>25603</v>
      </c>
      <c r="F4" s="6">
        <v>2294452.88</v>
      </c>
      <c r="G4" s="6">
        <v>2061679.37</v>
      </c>
      <c r="H4" s="6">
        <v>232776.37</v>
      </c>
      <c r="I4" s="6">
        <v>252071.18</v>
      </c>
      <c r="J4" s="6">
        <v>6340</v>
      </c>
      <c r="K4" s="6">
        <v>595.34</v>
      </c>
      <c r="L4" s="6">
        <v>534.95000000000005</v>
      </c>
      <c r="M4" s="6">
        <v>0.12226497663407282</v>
      </c>
      <c r="N4" s="6">
        <v>0.5458928878939211</v>
      </c>
      <c r="Q4" t="s">
        <v>35</v>
      </c>
      <c r="R4" s="8">
        <f>SUMIFS($G$32:$G$423,$A$32:$A$423,Dashboard!$B$4,$B$32:$B$423,Dashboard!$E$4,$C$32:$C$423,Q4)/1000000</f>
        <v>1.0512536699999999</v>
      </c>
      <c r="S4" s="9">
        <f>SUMIFS($H$32:$H$423,$A$32:$A$423,Dashboard!$B$4,$B$32:$B$423,Dashboard!$E$4,$C$32:$C$423,Q4)</f>
        <v>944050.1</v>
      </c>
      <c r="T4" s="9">
        <f>SUMIFS($J$32:$J$423,$A$32:$A$423,Dashboard!$B$4,$B$32:$B$423,Dashboard!$E$4,$C$32:$C$423,Q4)</f>
        <v>113778.21</v>
      </c>
      <c r="U4">
        <f>SUMIFS($E$32:$E$423,$A$32:$A$423,Dashboard!$B$4,$B$32:$B$423,Dashboard!$E$4,$C$32:$C$423,Q4)</f>
        <v>1781</v>
      </c>
      <c r="V4" s="10">
        <f>IFERROR(SUMIFS($K$32:$K$423,$A$32:$A$423,Dashboard!$B$4,$B$32:$B$423,Dashboard!$E$4,$C$32:$C$423,Q4)/SUMIFS($D$32:$D$423,$A$32:$A$423,Dashboard!$B$4,$B$32:$B$423,Dashboard!$E$4,$C$32:$C$423,Q4),0)</f>
        <v>0.54755688176053707</v>
      </c>
      <c r="X4" t="s">
        <v>84</v>
      </c>
      <c r="Y4" s="8">
        <v>10.277612640000001</v>
      </c>
      <c r="AA4" t="s">
        <v>79</v>
      </c>
      <c r="AB4" s="8">
        <v>6.5205378899999999</v>
      </c>
      <c r="AD4" t="s">
        <v>123</v>
      </c>
      <c r="AE4" s="10">
        <v>0.46149537944553348</v>
      </c>
      <c r="AG4" t="s">
        <v>147</v>
      </c>
      <c r="AH4" s="8">
        <v>4.1184254200000003</v>
      </c>
      <c r="AJ4" t="s">
        <v>129</v>
      </c>
      <c r="AK4">
        <v>2855</v>
      </c>
    </row>
    <row r="5" spans="1:37">
      <c r="A5" s="7" t="s">
        <v>82</v>
      </c>
      <c r="B5" s="7" t="s">
        <v>77</v>
      </c>
      <c r="C5" s="7">
        <v>6007</v>
      </c>
      <c r="D5" s="7">
        <v>2009</v>
      </c>
      <c r="E5" s="7">
        <v>13231</v>
      </c>
      <c r="F5" s="7">
        <v>1187434.07</v>
      </c>
      <c r="G5" s="7">
        <v>1066810.29</v>
      </c>
      <c r="H5" s="7">
        <v>120625.2</v>
      </c>
      <c r="I5" s="7">
        <v>129600.89</v>
      </c>
      <c r="J5" s="7">
        <v>3305</v>
      </c>
      <c r="K5" s="7">
        <v>591.05999999999995</v>
      </c>
      <c r="L5" s="7">
        <v>531.02</v>
      </c>
      <c r="M5" s="7">
        <v>0.12148447686982847</v>
      </c>
      <c r="N5" s="7">
        <v>0.55019144331613123</v>
      </c>
      <c r="Q5" t="s">
        <v>36</v>
      </c>
      <c r="R5" s="8">
        <f>SUMIFS($G$32:$G$423,$A$32:$A$423,Dashboard!$B$4,$B$32:$B$423,Dashboard!$E$4,$C$32:$C$423,Q5)/1000000</f>
        <v>1.0144632600000001</v>
      </c>
      <c r="S5" s="9">
        <f>SUMIFS($H$32:$H$423,$A$32:$A$423,Dashboard!$B$4,$B$32:$B$423,Dashboard!$E$4,$C$32:$C$423,Q5)</f>
        <v>912004.39</v>
      </c>
      <c r="T5" s="9">
        <f>SUMIFS($J$32:$J$423,$A$32:$A$423,Dashboard!$B$4,$B$32:$B$423,Dashboard!$E$4,$C$32:$C$423,Q5)</f>
        <v>108083.68</v>
      </c>
      <c r="U5">
        <f>SUMIFS($E$32:$E$423,$A$32:$A$423,Dashboard!$B$4,$B$32:$B$423,Dashboard!$E$4,$C$32:$C$423,Q5)</f>
        <v>1710</v>
      </c>
      <c r="V5" s="10">
        <f>IFERROR(SUMIFS($K$32:$K$423,$A$32:$A$423,Dashboard!$B$4,$B$32:$B$423,Dashboard!$E$4,$C$32:$C$423,Q5)/SUMIFS($D$32:$D$423,$A$32:$A$423,Dashboard!$B$4,$B$32:$B$423,Dashboard!$E$4,$C$32:$C$423,Q5),0)</f>
        <v>0.53843152555598905</v>
      </c>
      <c r="X5" t="s">
        <v>85</v>
      </c>
      <c r="Y5" s="8">
        <v>8.2737435799999997</v>
      </c>
      <c r="AD5" t="s">
        <v>124</v>
      </c>
      <c r="AE5" s="10">
        <v>0.38131929610416032</v>
      </c>
      <c r="AG5" t="s">
        <v>151</v>
      </c>
      <c r="AH5" s="8">
        <v>3.6948432000000002</v>
      </c>
      <c r="AJ5" t="s">
        <v>130</v>
      </c>
      <c r="AK5">
        <v>11722</v>
      </c>
    </row>
    <row r="6" spans="1:37">
      <c r="A6" s="7" t="s">
        <v>82</v>
      </c>
      <c r="B6" s="7" t="s">
        <v>78</v>
      </c>
      <c r="C6" s="7">
        <v>3528</v>
      </c>
      <c r="D6" s="7">
        <v>1167</v>
      </c>
      <c r="E6" s="7">
        <v>7671</v>
      </c>
      <c r="F6" s="7">
        <v>699757.5</v>
      </c>
      <c r="G6" s="7">
        <v>629263.86</v>
      </c>
      <c r="H6" s="7">
        <v>70494.45</v>
      </c>
      <c r="I6" s="7">
        <v>75761.37</v>
      </c>
      <c r="J6" s="7">
        <v>1943</v>
      </c>
      <c r="K6" s="7">
        <v>599.62</v>
      </c>
      <c r="L6" s="7">
        <v>539.21</v>
      </c>
      <c r="M6" s="7">
        <v>0.12039682367902074</v>
      </c>
      <c r="N6" s="7">
        <v>0.55073696145124718</v>
      </c>
      <c r="Q6" t="s">
        <v>37</v>
      </c>
      <c r="R6" s="8">
        <f>SUMIFS($G$32:$G$423,$A$32:$A$423,Dashboard!$B$4,$B$32:$B$423,Dashboard!$E$4,$C$32:$C$423,Q6)/1000000</f>
        <v>1.0504784199999999</v>
      </c>
      <c r="S6" s="9">
        <f>SUMIFS($H$32:$H$423,$A$32:$A$423,Dashboard!$B$4,$B$32:$B$423,Dashboard!$E$4,$C$32:$C$423,Q6)</f>
        <v>943939.76</v>
      </c>
      <c r="T6" s="9">
        <f>SUMIFS($J$32:$J$423,$A$32:$A$423,Dashboard!$B$4,$B$32:$B$423,Dashboard!$E$4,$C$32:$C$423,Q6)</f>
        <v>112147.9</v>
      </c>
      <c r="U6">
        <f>SUMIFS($E$32:$E$423,$A$32:$A$423,Dashboard!$B$4,$B$32:$B$423,Dashboard!$E$4,$C$32:$C$423,Q6)</f>
        <v>1776</v>
      </c>
      <c r="V6" s="10">
        <f>IFERROR(SUMIFS($K$32:$K$423,$A$32:$A$423,Dashboard!$B$4,$B$32:$B$423,Dashboard!$E$4,$C$32:$C$423,Q6)/SUMIFS($D$32:$D$423,$A$32:$A$423,Dashboard!$B$4,$B$32:$B$423,Dashboard!$E$4,$C$32:$C$423,Q6),0)</f>
        <v>0.55086802314728389</v>
      </c>
      <c r="X6" t="s">
        <v>86</v>
      </c>
      <c r="Y6" s="8">
        <v>5.0665286100000007</v>
      </c>
      <c r="AG6" t="s">
        <v>154</v>
      </c>
      <c r="AH6" s="8">
        <v>3.1478000000000002</v>
      </c>
    </row>
    <row r="7" spans="1:37">
      <c r="A7" s="7" t="s">
        <v>82</v>
      </c>
      <c r="B7" s="7" t="s">
        <v>79</v>
      </c>
      <c r="C7" s="7">
        <v>2079</v>
      </c>
      <c r="D7" s="7">
        <v>678</v>
      </c>
      <c r="E7" s="7">
        <v>4701</v>
      </c>
      <c r="F7" s="7">
        <v>407261.31</v>
      </c>
      <c r="G7" s="7">
        <v>365605.22</v>
      </c>
      <c r="H7" s="7">
        <v>41656.720000000001</v>
      </c>
      <c r="I7" s="7">
        <v>46708.92</v>
      </c>
      <c r="J7" s="7">
        <v>1092</v>
      </c>
      <c r="K7" s="7">
        <v>600.67999999999995</v>
      </c>
      <c r="L7" s="7">
        <v>539.24</v>
      </c>
      <c r="M7" s="7">
        <v>0.12775780389568833</v>
      </c>
      <c r="N7" s="7">
        <v>0.5252525252525253</v>
      </c>
      <c r="Q7" t="s">
        <v>39</v>
      </c>
      <c r="R7" s="8">
        <f>SUMIFS($G$32:$G$423,$A$32:$A$423,Dashboard!$B$4,$B$32:$B$423,Dashboard!$E$4,$C$32:$C$423,Q7)/1000000</f>
        <v>1.0240061499999999</v>
      </c>
      <c r="S7" s="9">
        <f>SUMIFS($H$32:$H$423,$A$32:$A$423,Dashboard!$B$4,$B$32:$B$423,Dashboard!$E$4,$C$32:$C$423,Q7)</f>
        <v>920242.05</v>
      </c>
      <c r="T7" s="9">
        <f>SUMIFS($J$32:$J$423,$A$32:$A$423,Dashboard!$B$4,$B$32:$B$423,Dashboard!$E$4,$C$32:$C$423,Q7)</f>
        <v>110147.16</v>
      </c>
      <c r="U7">
        <f>SUMIFS($E$32:$E$423,$A$32:$A$423,Dashboard!$B$4,$B$32:$B$423,Dashboard!$E$4,$C$32:$C$423,Q7)</f>
        <v>1725</v>
      </c>
      <c r="V7" s="10">
        <f>IFERROR(SUMIFS($K$32:$K$423,$A$32:$A$423,Dashboard!$B$4,$B$32:$B$423,Dashboard!$E$4,$C$32:$C$423,Q7)/SUMIFS($D$32:$D$423,$A$32:$A$423,Dashboard!$B$4,$B$32:$B$423,Dashboard!$E$4,$C$32:$C$423,Q7),0)</f>
        <v>0.54109855862874956</v>
      </c>
      <c r="AG7" t="s">
        <v>157</v>
      </c>
      <c r="AH7" s="8">
        <v>3.1138446000000002</v>
      </c>
    </row>
    <row r="8" spans="1:37">
      <c r="A8" s="7" t="s">
        <v>2</v>
      </c>
      <c r="B8" s="7" t="s">
        <v>2</v>
      </c>
      <c r="C8" s="7">
        <v>180519</v>
      </c>
      <c r="D8" s="7">
        <v>65752</v>
      </c>
      <c r="E8" s="7">
        <v>384079</v>
      </c>
      <c r="F8" s="7">
        <v>36784734.310000002</v>
      </c>
      <c r="G8" s="7">
        <v>33054402.039999999</v>
      </c>
      <c r="H8" s="7">
        <v>3730378.4</v>
      </c>
      <c r="I8" s="7">
        <v>3966902.97</v>
      </c>
      <c r="J8" s="7">
        <v>98977</v>
      </c>
      <c r="K8" s="7">
        <v>559.45000000000005</v>
      </c>
      <c r="L8" s="7">
        <v>502.71</v>
      </c>
      <c r="M8" s="7">
        <v>0.12001133662014357</v>
      </c>
      <c r="N8" s="7">
        <v>0.5482913155955883</v>
      </c>
      <c r="Q8" t="s">
        <v>40</v>
      </c>
      <c r="R8" s="8">
        <f>SUMIFS($G$32:$G$423,$A$32:$A$423,Dashboard!$B$4,$B$32:$B$423,Dashboard!$E$4,$C$32:$C$423,Q8)/1000000</f>
        <v>1.0380811700000001</v>
      </c>
      <c r="S8" s="9">
        <f>SUMIFS($H$32:$H$423,$A$32:$A$423,Dashboard!$B$4,$B$32:$B$423,Dashboard!$E$4,$C$32:$C$423,Q8)</f>
        <v>932936.78</v>
      </c>
      <c r="T8" s="9">
        <f>SUMIFS($J$32:$J$423,$A$32:$A$423,Dashboard!$B$4,$B$32:$B$423,Dashboard!$E$4,$C$32:$C$423,Q8)</f>
        <v>115624.06</v>
      </c>
      <c r="U8">
        <f>SUMIFS($E$32:$E$423,$A$32:$A$423,Dashboard!$B$4,$B$32:$B$423,Dashboard!$E$4,$C$32:$C$423,Q8)</f>
        <v>1763</v>
      </c>
      <c r="V8" s="10">
        <f>IFERROR(SUMIFS($K$32:$K$423,$A$32:$A$423,Dashboard!$B$4,$B$32:$B$423,Dashboard!$E$4,$C$32:$C$423,Q8)/SUMIFS($D$32:$D$423,$A$32:$A$423,Dashboard!$B$4,$B$32:$B$423,Dashboard!$E$4,$C$32:$C$423,Q8),0)</f>
        <v>0.55463294961313458</v>
      </c>
      <c r="AG8" t="s">
        <v>160</v>
      </c>
      <c r="AH8" s="8">
        <v>2.89175754</v>
      </c>
    </row>
    <row r="9" spans="1:37">
      <c r="A9" s="7" t="s">
        <v>2</v>
      </c>
      <c r="B9" s="7" t="s">
        <v>77</v>
      </c>
      <c r="C9" s="7">
        <v>93504</v>
      </c>
      <c r="D9" s="7">
        <v>34119</v>
      </c>
      <c r="E9" s="7">
        <v>199234</v>
      </c>
      <c r="F9" s="7">
        <v>19095789.789999999</v>
      </c>
      <c r="G9" s="7">
        <v>17164278.190000001</v>
      </c>
      <c r="H9" s="7">
        <v>1931535.7</v>
      </c>
      <c r="I9" s="7">
        <v>2073487.67</v>
      </c>
      <c r="J9" s="7">
        <v>51248</v>
      </c>
      <c r="K9" s="7">
        <v>559.67999999999995</v>
      </c>
      <c r="L9" s="7">
        <v>503.07</v>
      </c>
      <c r="M9" s="7">
        <v>0.12080249731724954</v>
      </c>
      <c r="N9" s="7">
        <v>0.54808350444900755</v>
      </c>
      <c r="Q9" t="s">
        <v>41</v>
      </c>
      <c r="R9" s="8">
        <f>SUMIFS($G$32:$G$423,$A$32:$A$423,Dashboard!$B$4,$B$32:$B$423,Dashboard!$E$4,$C$32:$C$423,Q9)/1000000</f>
        <v>1.0294946700000001</v>
      </c>
      <c r="S9" s="9">
        <f>SUMIFS($H$32:$H$423,$A$32:$A$423,Dashboard!$B$4,$B$32:$B$423,Dashboard!$E$4,$C$32:$C$423,Q9)</f>
        <v>925192.86</v>
      </c>
      <c r="T9" s="9">
        <f>SUMIFS($J$32:$J$423,$A$32:$A$423,Dashboard!$B$4,$B$32:$B$423,Dashboard!$E$4,$C$32:$C$423,Q9)</f>
        <v>117979.77</v>
      </c>
      <c r="U9">
        <f>SUMIFS($E$32:$E$423,$A$32:$A$423,Dashboard!$B$4,$B$32:$B$423,Dashboard!$E$4,$C$32:$C$423,Q9)</f>
        <v>1762</v>
      </c>
      <c r="V9" s="10">
        <f>IFERROR(SUMIFS($K$32:$K$423,$A$32:$A$423,Dashboard!$B$4,$B$32:$B$423,Dashboard!$E$4,$C$32:$C$423,Q9)/SUMIFS($D$32:$D$423,$A$32:$A$423,Dashboard!$B$4,$B$32:$B$423,Dashboard!$E$4,$C$32:$C$423,Q9),0)</f>
        <v>0.55679878626967572</v>
      </c>
      <c r="AG9" t="s">
        <v>164</v>
      </c>
      <c r="AH9" s="8">
        <v>2.8889939399999998</v>
      </c>
    </row>
    <row r="10" spans="1:37">
      <c r="A10" s="7" t="s">
        <v>2</v>
      </c>
      <c r="B10" s="7" t="s">
        <v>78</v>
      </c>
      <c r="C10" s="7">
        <v>54789</v>
      </c>
      <c r="D10" s="7">
        <v>19856</v>
      </c>
      <c r="E10" s="7">
        <v>116560</v>
      </c>
      <c r="F10" s="7">
        <v>11168406.630000001</v>
      </c>
      <c r="G10" s="7">
        <v>10030649.800000001</v>
      </c>
      <c r="H10" s="7">
        <v>1137770.7</v>
      </c>
      <c r="I10" s="7">
        <v>1202574.96</v>
      </c>
      <c r="J10" s="7">
        <v>29982</v>
      </c>
      <c r="K10" s="7">
        <v>562.47</v>
      </c>
      <c r="L10" s="7">
        <v>505.17</v>
      </c>
      <c r="M10" s="7">
        <v>0.11989003543917962</v>
      </c>
      <c r="N10" s="7">
        <v>0.54722663308328312</v>
      </c>
      <c r="Q10" t="s">
        <v>42</v>
      </c>
      <c r="R10" s="8">
        <f>SUMIFS($G$32:$G$423,$A$32:$A$423,Dashboard!$B$4,$B$32:$B$423,Dashboard!$E$4,$C$32:$C$423,Q10)/1000000</f>
        <v>1.01833858</v>
      </c>
      <c r="S10" s="9">
        <f>SUMIFS($H$32:$H$423,$A$32:$A$423,Dashboard!$B$4,$B$32:$B$423,Dashboard!$E$4,$C$32:$C$423,Q10)</f>
        <v>914522.36</v>
      </c>
      <c r="T10" s="9">
        <f>SUMIFS($J$32:$J$423,$A$32:$A$423,Dashboard!$B$4,$B$32:$B$423,Dashboard!$E$4,$C$32:$C$423,Q10)</f>
        <v>113467.94</v>
      </c>
      <c r="U10">
        <f>SUMIFS($E$32:$E$423,$A$32:$A$423,Dashboard!$B$4,$B$32:$B$423,Dashboard!$E$4,$C$32:$C$423,Q10)</f>
        <v>1706</v>
      </c>
      <c r="V10" s="10">
        <f>IFERROR(SUMIFS($K$32:$K$423,$A$32:$A$423,Dashboard!$B$4,$B$32:$B$423,Dashboard!$E$4,$C$32:$C$423,Q10)/SUMIFS($D$32:$D$423,$A$32:$A$423,Dashboard!$B$4,$B$32:$B$423,Dashboard!$E$4,$C$32:$C$423,Q10),0)</f>
        <v>0.56692607003891049</v>
      </c>
    </row>
    <row r="11" spans="1:37">
      <c r="A11" s="7" t="s">
        <v>2</v>
      </c>
      <c r="B11" s="7" t="s">
        <v>79</v>
      </c>
      <c r="C11" s="7">
        <v>32226</v>
      </c>
      <c r="D11" s="7">
        <v>11777</v>
      </c>
      <c r="E11" s="7">
        <v>68285</v>
      </c>
      <c r="F11" s="7">
        <v>6520537.8899999997</v>
      </c>
      <c r="G11" s="7">
        <v>5859474.0499999998</v>
      </c>
      <c r="H11" s="7">
        <v>661072</v>
      </c>
      <c r="I11" s="7">
        <v>690840.34</v>
      </c>
      <c r="J11" s="7">
        <v>17747</v>
      </c>
      <c r="K11" s="7">
        <v>553.66999999999996</v>
      </c>
      <c r="L11" s="7">
        <v>497.54</v>
      </c>
      <c r="M11" s="7">
        <v>0.11790142495809841</v>
      </c>
      <c r="N11" s="7">
        <v>0.55070440017377276</v>
      </c>
      <c r="Q11" t="s">
        <v>43</v>
      </c>
      <c r="R11" s="8">
        <f>SUMIFS($G$32:$G$423,$A$32:$A$423,Dashboard!$B$4,$B$32:$B$423,Dashboard!$E$4,$C$32:$C$423,Q11)/1000000</f>
        <v>1.04915425</v>
      </c>
      <c r="S11" s="9">
        <f>SUMIFS($H$32:$H$423,$A$32:$A$423,Dashboard!$B$4,$B$32:$B$423,Dashboard!$E$4,$C$32:$C$423,Q11)</f>
        <v>943131.09</v>
      </c>
      <c r="T11" s="9">
        <f>SUMIFS($J$32:$J$423,$A$32:$A$423,Dashboard!$B$4,$B$32:$B$423,Dashboard!$E$4,$C$32:$C$423,Q11)</f>
        <v>101757.87</v>
      </c>
      <c r="U11">
        <f>SUMIFS($E$32:$E$423,$A$32:$A$423,Dashboard!$B$4,$B$32:$B$423,Dashboard!$E$4,$C$32:$C$423,Q11)</f>
        <v>1775</v>
      </c>
      <c r="V11" s="10">
        <f>IFERROR(SUMIFS($K$32:$K$423,$A$32:$A$423,Dashboard!$B$4,$B$32:$B$423,Dashboard!$E$4,$C$32:$C$423,Q11)/SUMIFS($D$32:$D$423,$A$32:$A$423,Dashboard!$B$4,$B$32:$B$423,Dashboard!$E$4,$C$32:$C$423,Q11),0)</f>
        <v>0.54809505846850248</v>
      </c>
    </row>
    <row r="12" spans="1:37">
      <c r="A12" s="7" t="s">
        <v>83</v>
      </c>
      <c r="B12" s="7" t="s">
        <v>2</v>
      </c>
      <c r="C12" s="7">
        <v>50252</v>
      </c>
      <c r="D12" s="7">
        <v>18561</v>
      </c>
      <c r="E12" s="7">
        <v>105238</v>
      </c>
      <c r="F12" s="7">
        <v>10872396.6</v>
      </c>
      <c r="G12" s="7">
        <v>9769198.2300000004</v>
      </c>
      <c r="H12" s="7">
        <v>1103210.75</v>
      </c>
      <c r="I12" s="7">
        <v>1169442.96</v>
      </c>
      <c r="J12" s="7">
        <v>27743</v>
      </c>
      <c r="K12" s="7">
        <v>585.77</v>
      </c>
      <c r="L12" s="7">
        <v>526.33000000000004</v>
      </c>
      <c r="M12" s="7">
        <v>0.11970715840413446</v>
      </c>
      <c r="N12" s="7">
        <v>0.55207752925256703</v>
      </c>
      <c r="Q12" t="s">
        <v>44</v>
      </c>
      <c r="R12" s="8">
        <f>SUMIFS($G$32:$G$423,$A$32:$A$423,Dashboard!$B$4,$B$32:$B$423,Dashboard!$E$4,$C$32:$C$423,Q12)/1000000</f>
        <v>1.02912022</v>
      </c>
      <c r="S12" s="9">
        <f>SUMIFS($H$32:$H$423,$A$32:$A$423,Dashboard!$B$4,$B$32:$B$423,Dashboard!$E$4,$C$32:$C$423,Q12)</f>
        <v>924602.56</v>
      </c>
      <c r="T12" s="9">
        <f>SUMIFS($J$32:$J$423,$A$32:$A$423,Dashboard!$B$4,$B$32:$B$423,Dashboard!$E$4,$C$32:$C$423,Q12)</f>
        <v>104427.36</v>
      </c>
      <c r="U12">
        <f>SUMIFS($E$32:$E$423,$A$32:$A$423,Dashboard!$B$4,$B$32:$B$423,Dashboard!$E$4,$C$32:$C$423,Q12)</f>
        <v>1729</v>
      </c>
      <c r="V12" s="10">
        <f>IFERROR(SUMIFS($K$32:$K$423,$A$32:$A$423,Dashboard!$B$4,$B$32:$B$423,Dashboard!$E$4,$C$32:$C$423,Q12)/SUMIFS($D$32:$D$423,$A$32:$A$423,Dashboard!$B$4,$B$32:$B$423,Dashboard!$E$4,$C$32:$C$423,Q12),0)</f>
        <v>0.54269340974212033</v>
      </c>
    </row>
    <row r="13" spans="1:37">
      <c r="A13" s="7" t="s">
        <v>83</v>
      </c>
      <c r="B13" s="7" t="s">
        <v>77</v>
      </c>
      <c r="C13" s="7">
        <v>26108</v>
      </c>
      <c r="D13" s="7">
        <v>9639</v>
      </c>
      <c r="E13" s="7">
        <v>54869</v>
      </c>
      <c r="F13" s="7">
        <v>5671565.25</v>
      </c>
      <c r="G13" s="7">
        <v>5097708.9800000004</v>
      </c>
      <c r="H13" s="7">
        <v>573862.57999999996</v>
      </c>
      <c r="I13" s="7">
        <v>627099</v>
      </c>
      <c r="J13" s="7">
        <v>14527</v>
      </c>
      <c r="K13" s="7">
        <v>588.4</v>
      </c>
      <c r="L13" s="7">
        <v>528.86</v>
      </c>
      <c r="M13" s="7">
        <v>0.1230158493669052</v>
      </c>
      <c r="N13" s="7">
        <v>0.55641948827945453</v>
      </c>
      <c r="Q13" t="s">
        <v>45</v>
      </c>
      <c r="R13" s="8">
        <f>SUMIFS($G$32:$G$423,$A$32:$A$423,Dashboard!$B$4,$B$32:$B$423,Dashboard!$E$4,$C$32:$C$423,Q13)/1000000</f>
        <v>1.05784086</v>
      </c>
      <c r="S13" s="9">
        <f>SUMIFS($H$32:$H$423,$A$32:$A$423,Dashboard!$B$4,$B$32:$B$423,Dashboard!$E$4,$C$32:$C$423,Q13)</f>
        <v>950526.91</v>
      </c>
      <c r="T13" s="9">
        <f>SUMIFS($J$32:$J$423,$A$32:$A$423,Dashboard!$B$4,$B$32:$B$423,Dashboard!$E$4,$C$32:$C$423,Q13)</f>
        <v>110641.55</v>
      </c>
      <c r="U13">
        <f>SUMIFS($E$32:$E$423,$A$32:$A$423,Dashboard!$B$4,$B$32:$B$423,Dashboard!$E$4,$C$32:$C$423,Q13)</f>
        <v>1805</v>
      </c>
      <c r="V13" s="10">
        <f>IFERROR(SUMIFS($K$32:$K$423,$A$32:$A$423,Dashboard!$B$4,$B$32:$B$423,Dashboard!$E$4,$C$32:$C$423,Q13)/SUMIFS($D$32:$D$423,$A$32:$A$423,Dashboard!$B$4,$B$32:$B$423,Dashboard!$E$4,$C$32:$C$423,Q13),0)</f>
        <v>0.54682554459132382</v>
      </c>
    </row>
    <row r="14" spans="1:37">
      <c r="A14" s="7" t="s">
        <v>83</v>
      </c>
      <c r="B14" s="7" t="s">
        <v>78</v>
      </c>
      <c r="C14" s="7">
        <v>15313</v>
      </c>
      <c r="D14" s="7">
        <v>5617</v>
      </c>
      <c r="E14" s="7">
        <v>31920</v>
      </c>
      <c r="F14" s="7">
        <v>3303070.61</v>
      </c>
      <c r="G14" s="7">
        <v>2968303.71</v>
      </c>
      <c r="H14" s="7">
        <v>334770.71000000002</v>
      </c>
      <c r="I14" s="7">
        <v>355412.12</v>
      </c>
      <c r="J14" s="7">
        <v>8290</v>
      </c>
      <c r="K14" s="7">
        <v>588.04999999999995</v>
      </c>
      <c r="L14" s="7">
        <v>528.45000000000005</v>
      </c>
      <c r="M14" s="7">
        <v>0.11973576652639767</v>
      </c>
      <c r="N14" s="7">
        <v>0.54137007771174817</v>
      </c>
      <c r="Q14" t="s">
        <v>46</v>
      </c>
      <c r="R14" s="8">
        <f>SUMIFS($G$32:$G$423,$A$32:$A$423,Dashboard!$B$4,$B$32:$B$423,Dashboard!$E$4,$C$32:$C$423,Q14)/1000000</f>
        <v>1.04630823</v>
      </c>
      <c r="S14" s="9">
        <f>SUMIFS($H$32:$H$423,$A$32:$A$423,Dashboard!$B$4,$B$32:$B$423,Dashboard!$E$4,$C$32:$C$423,Q14)</f>
        <v>940283.62</v>
      </c>
      <c r="T14" s="9">
        <f>SUMIFS($J$32:$J$423,$A$32:$A$423,Dashboard!$B$4,$B$32:$B$423,Dashboard!$E$4,$C$32:$C$423,Q14)</f>
        <v>106780.95</v>
      </c>
      <c r="U14">
        <f>SUMIFS($E$32:$E$423,$A$32:$A$423,Dashboard!$B$4,$B$32:$B$423,Dashboard!$E$4,$C$32:$C$423,Q14)</f>
        <v>1772</v>
      </c>
      <c r="V14" s="10">
        <f>IFERROR(SUMIFS($K$32:$K$423,$A$32:$A$423,Dashboard!$B$4,$B$32:$B$423,Dashboard!$E$4,$C$32:$C$423,Q14)/SUMIFS($D$32:$D$423,$A$32:$A$423,Dashboard!$B$4,$B$32:$B$423,Dashboard!$E$4,$C$32:$C$423,Q14),0)</f>
        <v>0.55576452886966332</v>
      </c>
    </row>
    <row r="15" spans="1:37">
      <c r="A15" s="7" t="s">
        <v>83</v>
      </c>
      <c r="B15" s="7" t="s">
        <v>79</v>
      </c>
      <c r="C15" s="7">
        <v>8831</v>
      </c>
      <c r="D15" s="7">
        <v>3305</v>
      </c>
      <c r="E15" s="7">
        <v>18449</v>
      </c>
      <c r="F15" s="7">
        <v>1897760.74</v>
      </c>
      <c r="G15" s="7">
        <v>1703185.54</v>
      </c>
      <c r="H15" s="7">
        <v>194577.46</v>
      </c>
      <c r="I15" s="7">
        <v>186931.84</v>
      </c>
      <c r="J15" s="7">
        <v>4926</v>
      </c>
      <c r="K15" s="7">
        <v>574.21</v>
      </c>
      <c r="L15" s="7">
        <v>515.34</v>
      </c>
      <c r="M15" s="7">
        <v>0.10975424321650828</v>
      </c>
      <c r="N15" s="7">
        <v>0.55780772279470048</v>
      </c>
      <c r="Q15" t="s">
        <v>47</v>
      </c>
      <c r="R15" s="8">
        <f>SUMIFS($G$32:$G$423,$A$32:$A$423,Dashboard!$B$4,$B$32:$B$423,Dashboard!$E$4,$C$32:$C$423,Q15)/1000000</f>
        <v>0.96854282999999997</v>
      </c>
      <c r="S15" s="9">
        <f>SUMIFS($H$32:$H$423,$A$32:$A$423,Dashboard!$B$4,$B$32:$B$423,Dashboard!$E$4,$C$32:$C$423,Q15)</f>
        <v>870116.74</v>
      </c>
      <c r="T15" s="9">
        <f>SUMIFS($J$32:$J$423,$A$32:$A$423,Dashboard!$B$4,$B$32:$B$423,Dashboard!$E$4,$C$32:$C$423,Q15)</f>
        <v>86809.49</v>
      </c>
      <c r="U15">
        <f>SUMIFS($E$32:$E$423,$A$32:$A$423,Dashboard!$B$4,$B$32:$B$423,Dashboard!$E$4,$C$32:$C$423,Q15)</f>
        <v>1650</v>
      </c>
      <c r="V15" s="10">
        <f>IFERROR(SUMIFS($K$32:$K$423,$A$32:$A$423,Dashboard!$B$4,$B$32:$B$423,Dashboard!$E$4,$C$32:$C$423,Q15)/SUMIFS($D$32:$D$423,$A$32:$A$423,Dashboard!$B$4,$B$32:$B$423,Dashboard!$E$4,$C$32:$C$423,Q15),0)</f>
        <v>0.5414793624846751</v>
      </c>
    </row>
    <row r="16" spans="1:37">
      <c r="A16" s="7" t="s">
        <v>84</v>
      </c>
      <c r="B16" s="7" t="s">
        <v>2</v>
      </c>
      <c r="C16" s="7">
        <v>51594</v>
      </c>
      <c r="D16" s="7">
        <v>17181</v>
      </c>
      <c r="E16" s="7">
        <v>112942</v>
      </c>
      <c r="F16" s="7">
        <v>10277612.640000001</v>
      </c>
      <c r="G16" s="7">
        <v>9235761.9900000002</v>
      </c>
      <c r="H16" s="7">
        <v>1041863.15</v>
      </c>
      <c r="I16" s="7">
        <v>1123321.6100000001</v>
      </c>
      <c r="J16" s="7">
        <v>28044</v>
      </c>
      <c r="K16" s="7">
        <v>598.20000000000005</v>
      </c>
      <c r="L16" s="7">
        <v>537.55999999999995</v>
      </c>
      <c r="M16" s="7">
        <v>0.12162738832120988</v>
      </c>
      <c r="N16" s="7">
        <v>0.54355157576462376</v>
      </c>
      <c r="Q16" t="s">
        <v>48</v>
      </c>
      <c r="R16" s="8">
        <f>SUMIFS($G$32:$G$423,$A$32:$A$423,Dashboard!$B$4,$B$32:$B$423,Dashboard!$E$4,$C$32:$C$423,Q16)/1000000</f>
        <v>1.0258531</v>
      </c>
      <c r="S16" s="9">
        <f>SUMIFS($H$32:$H$423,$A$32:$A$423,Dashboard!$B$4,$B$32:$B$423,Dashboard!$E$4,$C$32:$C$423,Q16)</f>
        <v>921487.72</v>
      </c>
      <c r="T16" s="9">
        <f>SUMIFS($J$32:$J$423,$A$32:$A$423,Dashboard!$B$4,$B$32:$B$423,Dashboard!$E$4,$C$32:$C$423,Q16)</f>
        <v>101259.99</v>
      </c>
      <c r="U16">
        <f>SUMIFS($E$32:$E$423,$A$32:$A$423,Dashboard!$B$4,$B$32:$B$423,Dashboard!$E$4,$C$32:$C$423,Q16)</f>
        <v>1764</v>
      </c>
      <c r="V16" s="10">
        <f>IFERROR(SUMIFS($K$32:$K$423,$A$32:$A$423,Dashboard!$B$4,$B$32:$B$423,Dashboard!$E$4,$C$32:$C$423,Q16)/SUMIFS($D$32:$D$423,$A$32:$A$423,Dashboard!$B$4,$B$32:$B$423,Dashboard!$E$4,$C$32:$C$423,Q16),0)</f>
        <v>0.55758157389635321</v>
      </c>
    </row>
    <row r="17" spans="1:22">
      <c r="A17" s="7" t="s">
        <v>84</v>
      </c>
      <c r="B17" s="7" t="s">
        <v>77</v>
      </c>
      <c r="C17" s="7">
        <v>26598</v>
      </c>
      <c r="D17" s="7">
        <v>8884</v>
      </c>
      <c r="E17" s="7">
        <v>58345</v>
      </c>
      <c r="F17" s="7">
        <v>5289638.68</v>
      </c>
      <c r="G17" s="7">
        <v>4754728.3499999996</v>
      </c>
      <c r="H17" s="7">
        <v>534916.97</v>
      </c>
      <c r="I17" s="7">
        <v>568246.21</v>
      </c>
      <c r="J17" s="7">
        <v>14525</v>
      </c>
      <c r="K17" s="7">
        <v>595.41</v>
      </c>
      <c r="L17" s="7">
        <v>535.20000000000005</v>
      </c>
      <c r="M17" s="7">
        <v>0.11951181396093849</v>
      </c>
      <c r="N17" s="7">
        <v>0.54609369125498153</v>
      </c>
      <c r="Q17" t="s">
        <v>49</v>
      </c>
      <c r="R17" s="8">
        <f>SUMIFS($G$32:$G$423,$A$32:$A$423,Dashboard!$B$4,$B$32:$B$423,Dashboard!$E$4,$C$32:$C$423,Q17)/1000000</f>
        <v>1.00121156</v>
      </c>
      <c r="S17" s="9">
        <f>SUMIFS($H$32:$H$423,$A$32:$A$423,Dashboard!$B$4,$B$32:$B$423,Dashboard!$E$4,$C$32:$C$423,Q17)</f>
        <v>900492.91</v>
      </c>
      <c r="T17" s="9">
        <f>SUMIFS($J$32:$J$423,$A$32:$A$423,Dashboard!$B$4,$B$32:$B$423,Dashboard!$E$4,$C$32:$C$423,Q17)</f>
        <v>114976.62</v>
      </c>
      <c r="U17">
        <f>SUMIFS($E$32:$E$423,$A$32:$A$423,Dashboard!$B$4,$B$32:$B$423,Dashboard!$E$4,$C$32:$C$423,Q17)</f>
        <v>1706</v>
      </c>
      <c r="V17" s="10">
        <f>IFERROR(SUMIFS($K$32:$K$423,$A$32:$A$423,Dashboard!$B$4,$B$32:$B$423,Dashboard!$E$4,$C$32:$C$423,Q17)/SUMIFS($D$32:$D$423,$A$32:$A$423,Dashboard!$B$4,$B$32:$B$423,Dashboard!$E$4,$C$32:$C$423,Q17),0)</f>
        <v>0.5522856582303316</v>
      </c>
    </row>
    <row r="18" spans="1:22">
      <c r="A18" s="7" t="s">
        <v>84</v>
      </c>
      <c r="B18" s="7" t="s">
        <v>78</v>
      </c>
      <c r="C18" s="7">
        <v>15699</v>
      </c>
      <c r="D18" s="7">
        <v>5184</v>
      </c>
      <c r="E18" s="7">
        <v>34457</v>
      </c>
      <c r="F18" s="7">
        <v>3139114.78</v>
      </c>
      <c r="G18" s="7">
        <v>2818496.73</v>
      </c>
      <c r="H18" s="7">
        <v>320621.94</v>
      </c>
      <c r="I18" s="7">
        <v>350573.82</v>
      </c>
      <c r="J18" s="7">
        <v>8453</v>
      </c>
      <c r="K18" s="7">
        <v>605.54</v>
      </c>
      <c r="L18" s="7">
        <v>543.69000000000005</v>
      </c>
      <c r="M18" s="7">
        <v>0.12438326298856484</v>
      </c>
      <c r="N18" s="7">
        <v>0.53844193897700487</v>
      </c>
      <c r="Q18" t="s">
        <v>50</v>
      </c>
      <c r="R18" s="8">
        <f>SUMIFS($G$32:$G$423,$A$32:$A$423,Dashboard!$B$4,$B$32:$B$423,Dashboard!$E$4,$C$32:$C$423,Q18)/1000000</f>
        <v>1.0294001800000001</v>
      </c>
      <c r="S18" s="9">
        <f>SUMIFS($H$32:$H$423,$A$32:$A$423,Dashboard!$B$4,$B$32:$B$423,Dashboard!$E$4,$C$32:$C$423,Q18)</f>
        <v>924978.21</v>
      </c>
      <c r="T18" s="9">
        <f>SUMIFS($J$32:$J$423,$A$32:$A$423,Dashboard!$B$4,$B$32:$B$423,Dashboard!$E$4,$C$32:$C$423,Q18)</f>
        <v>110716.12</v>
      </c>
      <c r="U18">
        <f>SUMIFS($E$32:$E$423,$A$32:$A$423,Dashboard!$B$4,$B$32:$B$423,Dashboard!$E$4,$C$32:$C$423,Q18)</f>
        <v>1763</v>
      </c>
      <c r="V18" s="10">
        <f>IFERROR(SUMIFS($K$32:$K$423,$A$32:$A$423,Dashboard!$B$4,$B$32:$B$423,Dashboard!$E$4,$C$32:$C$423,Q18)/SUMIFS($D$32:$D$423,$A$32:$A$423,Dashboard!$B$4,$B$32:$B$423,Dashboard!$E$4,$C$32:$C$423,Q18),0)</f>
        <v>0.55658242172764993</v>
      </c>
    </row>
    <row r="19" spans="1:22">
      <c r="A19" s="7" t="s">
        <v>84</v>
      </c>
      <c r="B19" s="7" t="s">
        <v>79</v>
      </c>
      <c r="C19" s="7">
        <v>9297</v>
      </c>
      <c r="D19" s="7">
        <v>3113</v>
      </c>
      <c r="E19" s="7">
        <v>20140</v>
      </c>
      <c r="F19" s="7">
        <v>1848859.18</v>
      </c>
      <c r="G19" s="7">
        <v>1662536.91</v>
      </c>
      <c r="H19" s="7">
        <v>186324.24</v>
      </c>
      <c r="I19" s="7">
        <v>204501.58</v>
      </c>
      <c r="J19" s="7">
        <v>5066</v>
      </c>
      <c r="K19" s="7">
        <v>593.91999999999996</v>
      </c>
      <c r="L19" s="7">
        <v>534.05999999999995</v>
      </c>
      <c r="M19" s="7">
        <v>0.12300573826057191</v>
      </c>
      <c r="N19" s="7">
        <v>0.54490695923416155</v>
      </c>
      <c r="Q19" t="s">
        <v>51</v>
      </c>
      <c r="R19" s="8">
        <f>SUMIFS($G$32:$G$423,$A$32:$A$423,Dashboard!$B$4,$B$32:$B$423,Dashboard!$E$4,$C$32:$C$423,Q19)/1000000</f>
        <v>1.00305953</v>
      </c>
      <c r="S19" s="9">
        <f>SUMIFS($H$32:$H$423,$A$32:$A$423,Dashboard!$B$4,$B$32:$B$423,Dashboard!$E$4,$C$32:$C$423,Q19)</f>
        <v>901448</v>
      </c>
      <c r="T19" s="9">
        <f>SUMIFS($J$32:$J$423,$A$32:$A$423,Dashboard!$B$4,$B$32:$B$423,Dashboard!$E$4,$C$32:$C$423,Q19)</f>
        <v>104196.07</v>
      </c>
      <c r="U19">
        <f>SUMIFS($E$32:$E$423,$A$32:$A$423,Dashboard!$B$4,$B$32:$B$423,Dashboard!$E$4,$C$32:$C$423,Q19)</f>
        <v>1690</v>
      </c>
      <c r="V19" s="10">
        <f>IFERROR(SUMIFS($K$32:$K$423,$A$32:$A$423,Dashboard!$B$4,$B$32:$B$423,Dashboard!$E$4,$C$32:$C$423,Q19)/SUMIFS($D$32:$D$423,$A$32:$A$423,Dashboard!$B$4,$B$32:$B$423,Dashboard!$E$4,$C$32:$C$423,Q19),0)</f>
        <v>0.56846062524732888</v>
      </c>
    </row>
    <row r="20" spans="1:22">
      <c r="A20" s="7" t="s">
        <v>85</v>
      </c>
      <c r="B20" s="7" t="s">
        <v>2</v>
      </c>
      <c r="C20" s="7">
        <v>41260</v>
      </c>
      <c r="D20" s="7">
        <v>17577</v>
      </c>
      <c r="E20" s="7">
        <v>83680</v>
      </c>
      <c r="F20" s="7">
        <v>8273743.5800000001</v>
      </c>
      <c r="G20" s="7">
        <v>7434262.5800000001</v>
      </c>
      <c r="H20" s="7">
        <v>839493.31</v>
      </c>
      <c r="I20" s="7">
        <v>857753.44</v>
      </c>
      <c r="J20" s="7">
        <v>22712</v>
      </c>
      <c r="K20" s="7">
        <v>470.71</v>
      </c>
      <c r="L20" s="7">
        <v>422.95</v>
      </c>
      <c r="M20" s="7">
        <v>0.11537841591815283</v>
      </c>
      <c r="N20" s="7">
        <v>0.55046049442559375</v>
      </c>
      <c r="Q20" t="s">
        <v>52</v>
      </c>
      <c r="R20" s="8">
        <f>SUMIFS($G$32:$G$423,$A$32:$A$423,Dashboard!$B$4,$B$32:$B$423,Dashboard!$E$4,$C$32:$C$423,Q20)/1000000</f>
        <v>1.0457156000000001</v>
      </c>
      <c r="S20" s="9">
        <f>SUMIFS($H$32:$H$423,$A$32:$A$423,Dashboard!$B$4,$B$32:$B$423,Dashboard!$E$4,$C$32:$C$423,Q20)</f>
        <v>939216.39</v>
      </c>
      <c r="T20" s="9">
        <f>SUMIFS($J$32:$J$423,$A$32:$A$423,Dashboard!$B$4,$B$32:$B$423,Dashboard!$E$4,$C$32:$C$423,Q20)</f>
        <v>119941.72</v>
      </c>
      <c r="U20">
        <f>SUMIFS($E$32:$E$423,$A$32:$A$423,Dashboard!$B$4,$B$32:$B$423,Dashboard!$E$4,$C$32:$C$423,Q20)</f>
        <v>1758</v>
      </c>
      <c r="V20" s="10">
        <f>IFERROR(SUMIFS($K$32:$K$423,$A$32:$A$423,Dashboard!$B$4,$B$32:$B$423,Dashboard!$E$4,$C$32:$C$423,Q20)/SUMIFS($D$32:$D$423,$A$32:$A$423,Dashboard!$B$4,$B$32:$B$423,Dashboard!$E$4,$C$32:$C$423,Q20),0)</f>
        <v>0.51932139491046181</v>
      </c>
    </row>
    <row r="21" spans="1:22">
      <c r="A21" s="7" t="s">
        <v>85</v>
      </c>
      <c r="B21" s="7" t="s">
        <v>77</v>
      </c>
      <c r="C21" s="7">
        <v>21284</v>
      </c>
      <c r="D21" s="7">
        <v>9078</v>
      </c>
      <c r="E21" s="7">
        <v>43386</v>
      </c>
      <c r="F21" s="7">
        <v>4286860.63</v>
      </c>
      <c r="G21" s="7">
        <v>3853807.21</v>
      </c>
      <c r="H21" s="7">
        <v>433059.84000000003</v>
      </c>
      <c r="I21" s="7">
        <v>445629.43</v>
      </c>
      <c r="J21" s="7">
        <v>11592</v>
      </c>
      <c r="K21" s="7">
        <v>472.23</v>
      </c>
      <c r="L21" s="7">
        <v>424.52</v>
      </c>
      <c r="M21" s="7">
        <v>0.1156335555249532</v>
      </c>
      <c r="N21" s="7">
        <v>0.54463446720541253</v>
      </c>
      <c r="Q21" t="s">
        <v>53</v>
      </c>
      <c r="R21" s="8">
        <f>SUMIFS($G$32:$G$423,$A$32:$A$423,Dashboard!$B$4,$B$32:$B$423,Dashboard!$E$4,$C$32:$C$423,Q21)/1000000</f>
        <v>1.04820023</v>
      </c>
      <c r="S21" s="9">
        <f>SUMIFS($H$32:$H$423,$A$32:$A$423,Dashboard!$B$4,$B$32:$B$423,Dashboard!$E$4,$C$32:$C$423,Q21)</f>
        <v>942408.93</v>
      </c>
      <c r="T21" s="9">
        <f>SUMIFS($J$32:$J$423,$A$32:$A$423,Dashboard!$B$4,$B$32:$B$423,Dashboard!$E$4,$C$32:$C$423,Q21)</f>
        <v>110729.54</v>
      </c>
      <c r="U21">
        <f>SUMIFS($E$32:$E$423,$A$32:$A$423,Dashboard!$B$4,$B$32:$B$423,Dashboard!$E$4,$C$32:$C$423,Q21)</f>
        <v>1766</v>
      </c>
      <c r="V21" s="10">
        <f>IFERROR(SUMIFS($K$32:$K$423,$A$32:$A$423,Dashboard!$B$4,$B$32:$B$423,Dashboard!$E$4,$C$32:$C$423,Q21)/SUMIFS($D$32:$D$423,$A$32:$A$423,Dashboard!$B$4,$B$32:$B$423,Dashboard!$E$4,$C$32:$C$423,Q21),0)</f>
        <v>0.55268091488563931</v>
      </c>
    </row>
    <row r="22" spans="1:22">
      <c r="A22" s="7" t="s">
        <v>85</v>
      </c>
      <c r="B22" s="7" t="s">
        <v>78</v>
      </c>
      <c r="C22" s="7">
        <v>12508</v>
      </c>
      <c r="D22" s="7">
        <v>5318</v>
      </c>
      <c r="E22" s="7">
        <v>25217</v>
      </c>
      <c r="F22" s="7">
        <v>2515592.54</v>
      </c>
      <c r="G22" s="7">
        <v>2257029.98</v>
      </c>
      <c r="H22" s="7">
        <v>258566.13</v>
      </c>
      <c r="I22" s="7">
        <v>258109.51</v>
      </c>
      <c r="J22" s="7">
        <v>7011</v>
      </c>
      <c r="K22" s="7">
        <v>473.03</v>
      </c>
      <c r="L22" s="7">
        <v>424.41</v>
      </c>
      <c r="M22" s="7">
        <v>0.11435803347193466</v>
      </c>
      <c r="N22" s="7">
        <v>0.56052126638951072</v>
      </c>
      <c r="Q22" t="s">
        <v>54</v>
      </c>
      <c r="R22" s="8">
        <f>SUMIFS($G$32:$G$423,$A$32:$A$423,Dashboard!$B$4,$B$32:$B$423,Dashboard!$E$4,$C$32:$C$423,Q22)/1000000</f>
        <v>1.0023970200000001</v>
      </c>
      <c r="S22" s="9">
        <f>SUMIFS($H$32:$H$423,$A$32:$A$423,Dashboard!$B$4,$B$32:$B$423,Dashboard!$E$4,$C$32:$C$423,Q22)</f>
        <v>900371.62</v>
      </c>
      <c r="T22" s="9">
        <f>SUMIFS($J$32:$J$423,$A$32:$A$423,Dashboard!$B$4,$B$32:$B$423,Dashboard!$E$4,$C$32:$C$423,Q22)</f>
        <v>123384.71</v>
      </c>
      <c r="U22">
        <f>SUMIFS($E$32:$E$423,$A$32:$A$423,Dashboard!$B$4,$B$32:$B$423,Dashboard!$E$4,$C$32:$C$423,Q22)</f>
        <v>1730</v>
      </c>
      <c r="V22" s="10">
        <f>IFERROR(SUMIFS($K$32:$K$423,$A$32:$A$423,Dashboard!$B$4,$B$32:$B$423,Dashboard!$E$4,$C$32:$C$423,Q22)/SUMIFS($D$32:$D$423,$A$32:$A$423,Dashboard!$B$4,$B$32:$B$423,Dashboard!$E$4,$C$32:$C$423,Q22),0)</f>
        <v>0.54980620155038762</v>
      </c>
    </row>
    <row r="23" spans="1:22">
      <c r="A23" s="7" t="s">
        <v>85</v>
      </c>
      <c r="B23" s="7" t="s">
        <v>79</v>
      </c>
      <c r="C23" s="7">
        <v>7468</v>
      </c>
      <c r="D23" s="7">
        <v>3181</v>
      </c>
      <c r="E23" s="7">
        <v>15077</v>
      </c>
      <c r="F23" s="7">
        <v>1471290.41</v>
      </c>
      <c r="G23" s="7">
        <v>1323425.3899999999</v>
      </c>
      <c r="H23" s="7">
        <v>147867.34</v>
      </c>
      <c r="I23" s="7">
        <v>154014.5</v>
      </c>
      <c r="J23" s="7">
        <v>4109</v>
      </c>
      <c r="K23" s="7">
        <v>462.52</v>
      </c>
      <c r="L23" s="7">
        <v>416.04</v>
      </c>
      <c r="M23" s="7">
        <v>0.11637565756540305</v>
      </c>
      <c r="N23" s="7">
        <v>0.55021424745581149</v>
      </c>
      <c r="Q23" t="s">
        <v>55</v>
      </c>
      <c r="R23" s="8">
        <f>SUMIFS($G$32:$G$423,$A$32:$A$423,Dashboard!$B$4,$B$32:$B$423,Dashboard!$E$4,$C$32:$C$423,Q23)/1000000</f>
        <v>1.0481305300000001</v>
      </c>
      <c r="S23" s="9">
        <f>SUMIFS($H$32:$H$423,$A$32:$A$423,Dashboard!$B$4,$B$32:$B$423,Dashboard!$E$4,$C$32:$C$423,Q23)</f>
        <v>941882.27</v>
      </c>
      <c r="T23" s="9">
        <f>SUMIFS($J$32:$J$423,$A$32:$A$423,Dashboard!$B$4,$B$32:$B$423,Dashboard!$E$4,$C$32:$C$423,Q23)</f>
        <v>116781.97</v>
      </c>
      <c r="U23">
        <f>SUMIFS($E$32:$E$423,$A$32:$A$423,Dashboard!$B$4,$B$32:$B$423,Dashboard!$E$4,$C$32:$C$423,Q23)</f>
        <v>1776</v>
      </c>
      <c r="V23" s="10">
        <f>IFERROR(SUMIFS($K$32:$K$423,$A$32:$A$423,Dashboard!$B$4,$B$32:$B$423,Dashboard!$E$4,$C$32:$C$423,Q23)/SUMIFS($D$32:$D$423,$A$32:$A$423,Dashboard!$B$4,$B$32:$B$423,Dashboard!$E$4,$C$32:$C$423,Q23),0)</f>
        <v>0.54779547980733601</v>
      </c>
    </row>
    <row r="24" spans="1:22">
      <c r="A24" s="7" t="s">
        <v>86</v>
      </c>
      <c r="B24" s="7" t="s">
        <v>2</v>
      </c>
      <c r="C24" s="7">
        <v>25799</v>
      </c>
      <c r="D24" s="7">
        <v>8579</v>
      </c>
      <c r="E24" s="7">
        <v>56616</v>
      </c>
      <c r="F24" s="7">
        <v>5066528.6100000003</v>
      </c>
      <c r="G24" s="7">
        <v>4553499.87</v>
      </c>
      <c r="H24" s="7">
        <v>513034.82</v>
      </c>
      <c r="I24" s="7">
        <v>564313.78</v>
      </c>
      <c r="J24" s="7">
        <v>14138</v>
      </c>
      <c r="K24" s="7">
        <v>590.57000000000005</v>
      </c>
      <c r="L24" s="7">
        <v>530.77</v>
      </c>
      <c r="M24" s="7">
        <v>0.12392967961147652</v>
      </c>
      <c r="N24" s="7">
        <v>0.54800573665645957</v>
      </c>
      <c r="Q24" t="s">
        <v>56</v>
      </c>
      <c r="R24" s="8">
        <f>SUMIFS($G$32:$G$423,$A$32:$A$423,Dashboard!$B$4,$B$32:$B$423,Dashboard!$E$4,$C$32:$C$423,Q24)/1000000</f>
        <v>1.04759012</v>
      </c>
      <c r="S24" s="9">
        <f>SUMIFS($H$32:$H$423,$A$32:$A$423,Dashboard!$B$4,$B$32:$B$423,Dashboard!$E$4,$C$32:$C$423,Q24)</f>
        <v>941197.35</v>
      </c>
      <c r="T24" s="9">
        <f>SUMIFS($J$32:$J$423,$A$32:$A$423,Dashboard!$B$4,$B$32:$B$423,Dashboard!$E$4,$C$32:$C$423,Q24)</f>
        <v>109539.2</v>
      </c>
      <c r="U24">
        <f>SUMIFS($E$32:$E$423,$A$32:$A$423,Dashboard!$B$4,$B$32:$B$423,Dashboard!$E$4,$C$32:$C$423,Q24)</f>
        <v>1721</v>
      </c>
      <c r="V24" s="10">
        <f>IFERROR(SUMIFS($K$32:$K$423,$A$32:$A$423,Dashboard!$B$4,$B$32:$B$423,Dashboard!$E$4,$C$32:$C$423,Q24)/SUMIFS($D$32:$D$423,$A$32:$A$423,Dashboard!$B$4,$B$32:$B$423,Dashboard!$E$4,$C$32:$C$423,Q24),0)</f>
        <v>0.54625719769673708</v>
      </c>
    </row>
    <row r="25" spans="1:22">
      <c r="A25" s="7" t="s">
        <v>86</v>
      </c>
      <c r="B25" s="7" t="s">
        <v>77</v>
      </c>
      <c r="C25" s="7">
        <v>13507</v>
      </c>
      <c r="D25" s="7">
        <v>4509</v>
      </c>
      <c r="E25" s="7">
        <v>29403</v>
      </c>
      <c r="F25" s="7">
        <v>2660291.16</v>
      </c>
      <c r="G25" s="7">
        <v>2391223.36</v>
      </c>
      <c r="H25" s="7">
        <v>269071.11</v>
      </c>
      <c r="I25" s="7">
        <v>302912.14</v>
      </c>
      <c r="J25" s="7">
        <v>7299</v>
      </c>
      <c r="K25" s="7">
        <v>590</v>
      </c>
      <c r="L25" s="7">
        <v>530.32000000000005</v>
      </c>
      <c r="M25" s="7">
        <v>0.12667663969291434</v>
      </c>
      <c r="N25" s="7">
        <v>0.54038646627674536</v>
      </c>
      <c r="Q25" t="s">
        <v>57</v>
      </c>
      <c r="R25" s="8">
        <f>SUMIFS($G$32:$G$423,$A$32:$A$423,Dashboard!$B$4,$B$32:$B$423,Dashboard!$E$4,$C$32:$C$423,Q25)/1000000</f>
        <v>1.0374081500000001</v>
      </c>
      <c r="S25" s="9">
        <f>SUMIFS($H$32:$H$423,$A$32:$A$423,Dashboard!$B$4,$B$32:$B$423,Dashboard!$E$4,$C$32:$C$423,Q25)</f>
        <v>932112.88</v>
      </c>
      <c r="T25" s="9">
        <f>SUMIFS($J$32:$J$423,$A$32:$A$423,Dashboard!$B$4,$B$32:$B$423,Dashboard!$E$4,$C$32:$C$423,Q25)</f>
        <v>105002.69</v>
      </c>
      <c r="U25">
        <f>SUMIFS($E$32:$E$423,$A$32:$A$423,Dashboard!$B$4,$B$32:$B$423,Dashboard!$E$4,$C$32:$C$423,Q25)</f>
        <v>1763</v>
      </c>
      <c r="V25" s="10">
        <f>IFERROR(SUMIFS($K$32:$K$423,$A$32:$A$423,Dashboard!$B$4,$B$32:$B$423,Dashboard!$E$4,$C$32:$C$423,Q25)/SUMIFS($D$32:$D$423,$A$32:$A$423,Dashboard!$B$4,$B$32:$B$423,Dashboard!$E$4,$C$32:$C$423,Q25),0)</f>
        <v>0.56063769216170056</v>
      </c>
    </row>
    <row r="26" spans="1:22">
      <c r="A26" s="7" t="s">
        <v>86</v>
      </c>
      <c r="B26" s="7" t="s">
        <v>78</v>
      </c>
      <c r="C26" s="7">
        <v>7741</v>
      </c>
      <c r="D26" s="7">
        <v>2570</v>
      </c>
      <c r="E26" s="7">
        <v>17295</v>
      </c>
      <c r="F26" s="7">
        <v>1510871.2</v>
      </c>
      <c r="G26" s="7">
        <v>1357555.52</v>
      </c>
      <c r="H26" s="7">
        <v>153317.47</v>
      </c>
      <c r="I26" s="7">
        <v>162718.14000000001</v>
      </c>
      <c r="J26" s="7">
        <v>4285</v>
      </c>
      <c r="K26" s="7">
        <v>587.89</v>
      </c>
      <c r="L26" s="7">
        <v>528.23</v>
      </c>
      <c r="M26" s="7">
        <v>0.11986113098343115</v>
      </c>
      <c r="N26" s="7">
        <v>0.55354605348146235</v>
      </c>
      <c r="Q26" t="s">
        <v>58</v>
      </c>
      <c r="R26" s="8">
        <f>SUMIFS($G$32:$G$423,$A$32:$A$423,Dashboard!$B$4,$B$32:$B$423,Dashboard!$E$4,$C$32:$C$423,Q26)/1000000</f>
        <v>1.029698</v>
      </c>
      <c r="S26" s="9">
        <f>SUMIFS($H$32:$H$423,$A$32:$A$423,Dashboard!$B$4,$B$32:$B$423,Dashboard!$E$4,$C$32:$C$423,Q26)</f>
        <v>925472.61</v>
      </c>
      <c r="T26" s="9">
        <f>SUMIFS($J$32:$J$423,$A$32:$A$423,Dashboard!$B$4,$B$32:$B$423,Dashboard!$E$4,$C$32:$C$423,Q26)</f>
        <v>114843.85</v>
      </c>
      <c r="U26">
        <f>SUMIFS($E$32:$E$423,$A$32:$A$423,Dashboard!$B$4,$B$32:$B$423,Dashboard!$E$4,$C$32:$C$423,Q26)</f>
        <v>1745</v>
      </c>
      <c r="V26" s="10">
        <f>IFERROR(SUMIFS($K$32:$K$423,$A$32:$A$423,Dashboard!$B$4,$B$32:$B$423,Dashboard!$E$4,$C$32:$C$423,Q26)/SUMIFS($D$32:$D$423,$A$32:$A$423,Dashboard!$B$4,$B$32:$B$423,Dashboard!$E$4,$C$32:$C$423,Q26),0)</f>
        <v>0.53613187655740846</v>
      </c>
    </row>
    <row r="27" spans="1:22">
      <c r="A27" s="7" t="s">
        <v>86</v>
      </c>
      <c r="B27" s="7" t="s">
        <v>79</v>
      </c>
      <c r="C27" s="7">
        <v>4551</v>
      </c>
      <c r="D27" s="7">
        <v>1500</v>
      </c>
      <c r="E27" s="7">
        <v>9918</v>
      </c>
      <c r="F27" s="7">
        <v>895366.25</v>
      </c>
      <c r="G27" s="7">
        <v>804720.99</v>
      </c>
      <c r="H27" s="7">
        <v>90646.24</v>
      </c>
      <c r="I27" s="7">
        <v>98683.5</v>
      </c>
      <c r="J27" s="7">
        <v>2554</v>
      </c>
      <c r="K27" s="7">
        <v>596.91</v>
      </c>
      <c r="L27" s="7">
        <v>536.48</v>
      </c>
      <c r="M27" s="7">
        <v>0.12263070210210374</v>
      </c>
      <c r="N27" s="7">
        <v>0.56119534168314655</v>
      </c>
      <c r="Q27" t="s">
        <v>59</v>
      </c>
      <c r="R27" s="8">
        <f>SUMIFS($G$32:$G$423,$A$32:$A$423,Dashboard!$B$4,$B$32:$B$423,Dashboard!$E$4,$C$32:$C$423,Q27)/1000000</f>
        <v>0.99253488000000001</v>
      </c>
      <c r="S27" s="9">
        <f>SUMIFS($H$32:$H$423,$A$32:$A$423,Dashboard!$B$4,$B$32:$B$423,Dashboard!$E$4,$C$32:$C$423,Q27)</f>
        <v>891924.28</v>
      </c>
      <c r="T27" s="9">
        <f>SUMIFS($J$32:$J$423,$A$32:$A$423,Dashboard!$B$4,$B$32:$B$423,Dashboard!$E$4,$C$32:$C$423,Q27)</f>
        <v>115111.07</v>
      </c>
      <c r="U27">
        <f>SUMIFS($E$32:$E$423,$A$32:$A$423,Dashboard!$B$4,$B$32:$B$423,Dashboard!$E$4,$C$32:$C$423,Q27)</f>
        <v>1614</v>
      </c>
      <c r="V27" s="10">
        <f>IFERROR(SUMIFS($K$32:$K$423,$A$32:$A$423,Dashboard!$B$4,$B$32:$B$423,Dashboard!$E$4,$C$32:$C$423,Q27)/SUMIFS($D$32:$D$423,$A$32:$A$423,Dashboard!$B$4,$B$32:$B$423,Dashboard!$E$4,$C$32:$C$423,Q27),0)</f>
        <v>0.5466775377089278</v>
      </c>
    </row>
    <row r="28" spans="1:22">
      <c r="Q28" t="s">
        <v>60</v>
      </c>
      <c r="R28" s="8">
        <f>SUMIFS($G$32:$G$423,$A$32:$A$423,Dashboard!$B$4,$B$32:$B$423,Dashboard!$E$4,$C$32:$C$423,Q28)/1000000</f>
        <v>1.04800476</v>
      </c>
      <c r="S28" s="9">
        <f>SUMIFS($H$32:$H$423,$A$32:$A$423,Dashboard!$B$4,$B$32:$B$423,Dashboard!$E$4,$C$32:$C$423,Q28)</f>
        <v>942290.42</v>
      </c>
      <c r="T28" s="9">
        <f>SUMIFS($J$32:$J$423,$A$32:$A$423,Dashboard!$B$4,$B$32:$B$423,Dashboard!$E$4,$C$32:$C$423,Q28)</f>
        <v>118688.9</v>
      </c>
      <c r="U28">
        <f>SUMIFS($E$32:$E$423,$A$32:$A$423,Dashboard!$B$4,$B$32:$B$423,Dashboard!$E$4,$C$32:$C$423,Q28)</f>
        <v>1782</v>
      </c>
      <c r="V28" s="10">
        <f>IFERROR(SUMIFS($K$32:$K$423,$A$32:$A$423,Dashboard!$B$4,$B$32:$B$423,Dashboard!$E$4,$C$32:$C$423,Q28)/SUMIFS($D$32:$D$423,$A$32:$A$423,Dashboard!$B$4,$B$32:$B$423,Dashboard!$E$4,$C$32:$C$423,Q28),0)</f>
        <v>0.55264634374415555</v>
      </c>
    </row>
    <row r="29" spans="1:22" ht="17.399999999999999">
      <c r="A29" s="1" t="s">
        <v>263</v>
      </c>
      <c r="Q29" t="s">
        <v>61</v>
      </c>
      <c r="R29" s="8">
        <f>SUMIFS($G$32:$G$423,$A$32:$A$423,Dashboard!$B$4,$B$32:$B$423,Dashboard!$E$4,$C$32:$C$423,Q29)/1000000</f>
        <v>1.0383216</v>
      </c>
      <c r="S29" s="9">
        <f>SUMIFS($H$32:$H$423,$A$32:$A$423,Dashboard!$B$4,$B$32:$B$423,Dashboard!$E$4,$C$32:$C$423,Q29)</f>
        <v>932318.19</v>
      </c>
      <c r="T29" s="9">
        <f>SUMIFS($J$32:$J$423,$A$32:$A$423,Dashboard!$B$4,$B$32:$B$423,Dashboard!$E$4,$C$32:$C$423,Q29)</f>
        <v>115961.06</v>
      </c>
      <c r="U29">
        <f>SUMIFS($E$32:$E$423,$A$32:$A$423,Dashboard!$B$4,$B$32:$B$423,Dashboard!$E$4,$C$32:$C$423,Q29)</f>
        <v>1739</v>
      </c>
      <c r="V29" s="10">
        <f>IFERROR(SUMIFS($K$32:$K$423,$A$32:$A$423,Dashboard!$B$4,$B$32:$B$423,Dashboard!$E$4,$C$32:$C$423,Q29)/SUMIFS($D$32:$D$423,$A$32:$A$423,Dashboard!$B$4,$B$32:$B$423,Dashboard!$E$4,$C$32:$C$423,Q29),0)</f>
        <v>0.53779739063699161</v>
      </c>
    </row>
    <row r="30" spans="1:22">
      <c r="Q30" t="s">
        <v>62</v>
      </c>
      <c r="R30" s="8">
        <f>SUMIFS($G$32:$G$423,$A$32:$A$423,Dashboard!$B$4,$B$32:$B$423,Dashboard!$E$4,$C$32:$C$423,Q30)/1000000</f>
        <v>1.1054853</v>
      </c>
      <c r="S30" s="9">
        <f>SUMIFS($H$32:$H$423,$A$32:$A$423,Dashboard!$B$4,$B$32:$B$423,Dashboard!$E$4,$C$32:$C$423,Q30)</f>
        <v>993199.04</v>
      </c>
      <c r="T30" s="9">
        <f>SUMIFS($J$32:$J$423,$A$32:$A$423,Dashboard!$B$4,$B$32:$B$423,Dashboard!$E$4,$C$32:$C$423,Q30)</f>
        <v>115014.64</v>
      </c>
      <c r="U30">
        <f>SUMIFS($E$32:$E$423,$A$32:$A$423,Dashboard!$B$4,$B$32:$B$423,Dashboard!$E$4,$C$32:$C$423,Q30)</f>
        <v>1763</v>
      </c>
      <c r="V30" s="10">
        <f>IFERROR(SUMIFS($K$32:$K$423,$A$32:$A$423,Dashboard!$B$4,$B$32:$B$423,Dashboard!$E$4,$C$32:$C$423,Q30)/SUMIFS($D$32:$D$423,$A$32:$A$423,Dashboard!$B$4,$B$32:$B$423,Dashboard!$E$4,$C$32:$C$423,Q30),0)</f>
        <v>0.53470001880759832</v>
      </c>
    </row>
    <row r="31" spans="1:22" ht="26.4">
      <c r="A31" s="3" t="s">
        <v>81</v>
      </c>
      <c r="B31" s="4" t="s">
        <v>74</v>
      </c>
      <c r="C31" s="4" t="s">
        <v>17</v>
      </c>
      <c r="D31" s="4" t="s">
        <v>18</v>
      </c>
      <c r="E31" s="4" t="s">
        <v>19</v>
      </c>
      <c r="F31" s="4" t="s">
        <v>20</v>
      </c>
      <c r="G31" s="4" t="s">
        <v>21</v>
      </c>
      <c r="H31" s="4" t="s">
        <v>22</v>
      </c>
      <c r="I31" s="4" t="s">
        <v>75</v>
      </c>
      <c r="J31" s="4" t="s">
        <v>23</v>
      </c>
      <c r="K31" s="4" t="s">
        <v>262</v>
      </c>
      <c r="L31" s="4" t="s">
        <v>24</v>
      </c>
      <c r="M31" s="4" t="s">
        <v>76</v>
      </c>
      <c r="N31" s="4" t="s">
        <v>25</v>
      </c>
      <c r="O31" s="5" t="s">
        <v>26</v>
      </c>
      <c r="Q31" t="s">
        <v>63</v>
      </c>
      <c r="R31" s="8">
        <f>SUMIFS($G$32:$G$423,$A$32:$A$423,Dashboard!$B$4,$B$32:$B$423,Dashboard!$E$4,$C$32:$C$423,Q31)/1000000</f>
        <v>1.0320864699999999</v>
      </c>
      <c r="S31" s="9">
        <f>SUMIFS($H$32:$H$423,$A$32:$A$423,Dashboard!$B$4,$B$32:$B$423,Dashboard!$E$4,$C$32:$C$423,Q31)</f>
        <v>927445.96</v>
      </c>
      <c r="T31" s="9">
        <f>SUMIFS($J$32:$J$423,$A$32:$A$423,Dashboard!$B$4,$B$32:$B$423,Dashboard!$E$4,$C$32:$C$423,Q31)</f>
        <v>110399.29</v>
      </c>
      <c r="U31">
        <f>SUMIFS($E$32:$E$423,$A$32:$A$423,Dashboard!$B$4,$B$32:$B$423,Dashboard!$E$4,$C$32:$C$423,Q31)</f>
        <v>1676</v>
      </c>
      <c r="V31" s="10">
        <f>IFERROR(SUMIFS($K$32:$K$423,$A$32:$A$423,Dashboard!$B$4,$B$32:$B$423,Dashboard!$E$4,$C$32:$C$423,Q31)/SUMIFS($D$32:$D$423,$A$32:$A$423,Dashboard!$B$4,$B$32:$B$423,Dashboard!$E$4,$C$32:$C$423,Q31),0)</f>
        <v>0.53504342557059181</v>
      </c>
    </row>
    <row r="32" spans="1:22">
      <c r="A32" s="6" t="s">
        <v>2</v>
      </c>
      <c r="B32" s="6" t="s">
        <v>2</v>
      </c>
      <c r="C32" s="6" t="s">
        <v>30</v>
      </c>
      <c r="D32" s="6">
        <v>5322</v>
      </c>
      <c r="E32" s="6">
        <v>1787</v>
      </c>
      <c r="F32" s="6">
        <v>11854</v>
      </c>
      <c r="G32" s="6">
        <v>1051590.06</v>
      </c>
      <c r="H32" s="6">
        <v>945382.15</v>
      </c>
      <c r="I32" s="6">
        <v>106209.28</v>
      </c>
      <c r="J32" s="6">
        <v>111660.74</v>
      </c>
      <c r="K32" s="6">
        <v>2880</v>
      </c>
      <c r="L32" s="6">
        <v>588.47</v>
      </c>
      <c r="M32" s="6">
        <v>529.03</v>
      </c>
      <c r="N32" s="6">
        <v>0.11811174983576747</v>
      </c>
      <c r="O32" s="6">
        <v>0.54114994363021418</v>
      </c>
      <c r="Q32" t="s">
        <v>64</v>
      </c>
      <c r="R32" s="8">
        <f>SUMIFS($G$32:$G$423,$A$32:$A$423,Dashboard!$B$4,$B$32:$B$423,Dashboard!$E$4,$C$32:$C$423,Q32)/1000000</f>
        <v>1.10437334</v>
      </c>
      <c r="S32" s="9">
        <f>SUMIFS($H$32:$H$423,$A$32:$A$423,Dashboard!$B$4,$B$32:$B$423,Dashboard!$E$4,$C$32:$C$423,Q32)</f>
        <v>992423.42</v>
      </c>
      <c r="T32" s="9">
        <f>SUMIFS($J$32:$J$423,$A$32:$A$423,Dashboard!$B$4,$B$32:$B$423,Dashboard!$E$4,$C$32:$C$423,Q32)</f>
        <v>113026.7</v>
      </c>
      <c r="U32">
        <f>SUMIFS($E$32:$E$423,$A$32:$A$423,Dashboard!$B$4,$B$32:$B$423,Dashboard!$E$4,$C$32:$C$423,Q32)</f>
        <v>1776</v>
      </c>
      <c r="V32" s="10">
        <f>IFERROR(SUMIFS($K$32:$K$423,$A$32:$A$423,Dashboard!$B$4,$B$32:$B$423,Dashboard!$E$4,$C$32:$C$423,Q32)/SUMIFS($D$32:$D$423,$A$32:$A$423,Dashboard!$B$4,$B$32:$B$423,Dashboard!$E$4,$C$32:$C$423,Q32),0)</f>
        <v>0.54776231666039865</v>
      </c>
    </row>
    <row r="33" spans="1:22">
      <c r="A33" s="7" t="s">
        <v>2</v>
      </c>
      <c r="B33" s="7" t="s">
        <v>2</v>
      </c>
      <c r="C33" s="7" t="s">
        <v>33</v>
      </c>
      <c r="D33" s="7">
        <v>4729</v>
      </c>
      <c r="E33" s="7">
        <v>1585</v>
      </c>
      <c r="F33" s="7">
        <v>10438</v>
      </c>
      <c r="G33" s="7">
        <v>927009.88</v>
      </c>
      <c r="H33" s="7">
        <v>833012.42</v>
      </c>
      <c r="I33" s="7">
        <v>93998.57</v>
      </c>
      <c r="J33" s="7">
        <v>99140.66</v>
      </c>
      <c r="K33" s="7">
        <v>2594</v>
      </c>
      <c r="L33" s="7">
        <v>584.86</v>
      </c>
      <c r="M33" s="7">
        <v>525.55999999999995</v>
      </c>
      <c r="N33" s="7">
        <v>0.11901462405566533</v>
      </c>
      <c r="O33" s="7">
        <v>0.54853034468175088</v>
      </c>
      <c r="Q33" t="s">
        <v>65</v>
      </c>
      <c r="R33" s="8">
        <f>SUMIFS($G$32:$G$423,$A$32:$A$423,Dashboard!$B$4,$B$32:$B$423,Dashboard!$E$4,$C$32:$C$423,Q33)/1000000</f>
        <v>1.10933715</v>
      </c>
      <c r="S33" s="9">
        <f>SUMIFS($H$32:$H$423,$A$32:$A$423,Dashboard!$B$4,$B$32:$B$423,Dashboard!$E$4,$C$32:$C$423,Q33)</f>
        <v>996507.87</v>
      </c>
      <c r="T33" s="9">
        <f>SUMIFS($J$32:$J$423,$A$32:$A$423,Dashboard!$B$4,$B$32:$B$423,Dashboard!$E$4,$C$32:$C$423,Q33)</f>
        <v>131501.16</v>
      </c>
      <c r="U33">
        <f>SUMIFS($E$32:$E$423,$A$32:$A$423,Dashboard!$B$4,$B$32:$B$423,Dashboard!$E$4,$C$32:$C$423,Q33)</f>
        <v>1768</v>
      </c>
      <c r="V33" s="10">
        <f>IFERROR(SUMIFS($K$32:$K$423,$A$32:$A$423,Dashboard!$B$4,$B$32:$B$423,Dashboard!$E$4,$C$32:$C$423,Q33)/SUMIFS($D$32:$D$423,$A$32:$A$423,Dashboard!$B$4,$B$32:$B$423,Dashboard!$E$4,$C$32:$C$423,Q33),0)</f>
        <v>0.56437323279924601</v>
      </c>
    </row>
    <row r="34" spans="1:22">
      <c r="A34" s="7" t="s">
        <v>2</v>
      </c>
      <c r="B34" s="7" t="s">
        <v>2</v>
      </c>
      <c r="C34" s="7" t="s">
        <v>35</v>
      </c>
      <c r="D34" s="7">
        <v>5362</v>
      </c>
      <c r="E34" s="7">
        <v>1781</v>
      </c>
      <c r="F34" s="7">
        <v>12062</v>
      </c>
      <c r="G34" s="7">
        <v>1051253.67</v>
      </c>
      <c r="H34" s="7">
        <v>944050.1</v>
      </c>
      <c r="I34" s="7">
        <v>107204.88</v>
      </c>
      <c r="J34" s="7">
        <v>113778.21</v>
      </c>
      <c r="K34" s="7">
        <v>2936</v>
      </c>
      <c r="L34" s="7">
        <v>590.26</v>
      </c>
      <c r="M34" s="7">
        <v>530.07000000000005</v>
      </c>
      <c r="N34" s="7">
        <v>0.1205213685163531</v>
      </c>
      <c r="O34" s="7">
        <v>0.54755688176053707</v>
      </c>
      <c r="Q34" t="s">
        <v>66</v>
      </c>
      <c r="R34" s="8">
        <f>SUMIFS($G$32:$G$423,$A$32:$A$423,Dashboard!$B$4,$B$32:$B$423,Dashboard!$E$4,$C$32:$C$423,Q34)/1000000</f>
        <v>1.1437750900000001</v>
      </c>
      <c r="S34" s="9">
        <f>SUMIFS($H$32:$H$423,$A$32:$A$423,Dashboard!$B$4,$B$32:$B$423,Dashboard!$E$4,$C$32:$C$423,Q34)</f>
        <v>1027111.72</v>
      </c>
      <c r="T34" s="9">
        <f>SUMIFS($J$32:$J$423,$A$32:$A$423,Dashboard!$B$4,$B$32:$B$423,Dashboard!$E$4,$C$32:$C$423,Q34)</f>
        <v>122462.39</v>
      </c>
      <c r="U34">
        <f>SUMIFS($E$32:$E$423,$A$32:$A$423,Dashboard!$B$4,$B$32:$B$423,Dashboard!$E$4,$C$32:$C$423,Q34)</f>
        <v>1723</v>
      </c>
      <c r="V34" s="10">
        <f>IFERROR(SUMIFS($K$32:$K$423,$A$32:$A$423,Dashboard!$B$4,$B$32:$B$423,Dashboard!$E$4,$C$32:$C$423,Q34)/SUMIFS($D$32:$D$423,$A$32:$A$423,Dashboard!$B$4,$B$32:$B$423,Dashboard!$E$4,$C$32:$C$423,Q34),0)</f>
        <v>0.5423010213914049</v>
      </c>
    </row>
    <row r="35" spans="1:22">
      <c r="A35" s="7" t="s">
        <v>2</v>
      </c>
      <c r="B35" s="7" t="s">
        <v>2</v>
      </c>
      <c r="C35" s="7" t="s">
        <v>36</v>
      </c>
      <c r="D35" s="7">
        <v>5126</v>
      </c>
      <c r="E35" s="7">
        <v>1710</v>
      </c>
      <c r="F35" s="7">
        <v>11287</v>
      </c>
      <c r="G35" s="7">
        <v>1014463.26</v>
      </c>
      <c r="H35" s="7">
        <v>912004.39</v>
      </c>
      <c r="I35" s="7">
        <v>102460.16</v>
      </c>
      <c r="J35" s="7">
        <v>108083.68</v>
      </c>
      <c r="K35" s="7">
        <v>2760</v>
      </c>
      <c r="L35" s="7">
        <v>593.25</v>
      </c>
      <c r="M35" s="7">
        <v>533.34</v>
      </c>
      <c r="N35" s="7">
        <v>0.11851223654745784</v>
      </c>
      <c r="O35" s="7">
        <v>0.53843152555598905</v>
      </c>
      <c r="Q35" t="s">
        <v>67</v>
      </c>
      <c r="R35" s="8">
        <f>SUMIFS($G$32:$G$423,$A$32:$A$423,Dashboard!$B$4,$B$32:$B$423,Dashboard!$E$4,$C$32:$C$423,Q35)/1000000</f>
        <v>1.0739941599999998</v>
      </c>
      <c r="S35" s="9">
        <f>SUMIFS($H$32:$H$423,$A$32:$A$423,Dashboard!$B$4,$B$32:$B$423,Dashboard!$E$4,$C$32:$C$423,Q35)</f>
        <v>966081.41</v>
      </c>
      <c r="T35" s="9">
        <f>SUMIFS($J$32:$J$423,$A$32:$A$423,Dashboard!$B$4,$B$32:$B$423,Dashboard!$E$4,$C$32:$C$423,Q35)</f>
        <v>113447.17</v>
      </c>
      <c r="U35">
        <f>SUMIFS($E$32:$E$423,$A$32:$A$423,Dashboard!$B$4,$B$32:$B$423,Dashboard!$E$4,$C$32:$C$423,Q35)</f>
        <v>2101</v>
      </c>
      <c r="V35" s="10">
        <f>IFERROR(SUMIFS($K$32:$K$423,$A$32:$A$423,Dashboard!$B$4,$B$32:$B$423,Dashboard!$E$4,$C$32:$C$423,Q35)/SUMIFS($D$32:$D$423,$A$32:$A$423,Dashboard!$B$4,$B$32:$B$423,Dashboard!$E$4,$C$32:$C$423,Q35),0)</f>
        <v>0.53658536585365857</v>
      </c>
    </row>
    <row r="36" spans="1:22">
      <c r="A36" s="7" t="s">
        <v>2</v>
      </c>
      <c r="B36" s="7" t="s">
        <v>2</v>
      </c>
      <c r="C36" s="7" t="s">
        <v>37</v>
      </c>
      <c r="D36" s="7">
        <v>5357</v>
      </c>
      <c r="E36" s="7">
        <v>1776</v>
      </c>
      <c r="F36" s="7">
        <v>11902</v>
      </c>
      <c r="G36" s="7">
        <v>1050478.42</v>
      </c>
      <c r="H36" s="7">
        <v>943939.76</v>
      </c>
      <c r="I36" s="7">
        <v>106539.92</v>
      </c>
      <c r="J36" s="7">
        <v>112147.9</v>
      </c>
      <c r="K36" s="7">
        <v>2951</v>
      </c>
      <c r="L36" s="7">
        <v>591.49</v>
      </c>
      <c r="M36" s="7">
        <v>531.5</v>
      </c>
      <c r="N36" s="7">
        <v>0.11880832310739829</v>
      </c>
      <c r="O36" s="7">
        <v>0.55086802314728389</v>
      </c>
      <c r="Q36" t="s">
        <v>68</v>
      </c>
      <c r="R36" s="8">
        <f>SUMIFS($G$32:$G$423,$A$32:$A$423,Dashboard!$B$4,$B$32:$B$423,Dashboard!$E$4,$C$32:$C$423,Q36)/1000000</f>
        <v>0.62691436999999994</v>
      </c>
      <c r="S36" s="9">
        <f>SUMIFS($H$32:$H$423,$A$32:$A$423,Dashboard!$B$4,$B$32:$B$423,Dashboard!$E$4,$C$32:$C$423,Q36)</f>
        <v>563393.47</v>
      </c>
      <c r="T36" s="9">
        <f>SUMIFS($J$32:$J$423,$A$32:$A$423,Dashboard!$B$4,$B$32:$B$423,Dashboard!$E$4,$C$32:$C$423,Q36)</f>
        <v>67791.25</v>
      </c>
      <c r="U36">
        <f>SUMIFS($E$32:$E$423,$A$32:$A$423,Dashboard!$B$4,$B$32:$B$423,Dashboard!$E$4,$C$32:$C$423,Q36)</f>
        <v>2055</v>
      </c>
      <c r="V36" s="10">
        <f>IFERROR(SUMIFS($K$32:$K$423,$A$32:$A$423,Dashboard!$B$4,$B$32:$B$423,Dashboard!$E$4,$C$32:$C$423,Q36)/SUMIFS($D$32:$D$423,$A$32:$A$423,Dashboard!$B$4,$B$32:$B$423,Dashboard!$E$4,$C$32:$C$423,Q36),0)</f>
        <v>0.55085158150851576</v>
      </c>
    </row>
    <row r="37" spans="1:22">
      <c r="A37" s="7" t="s">
        <v>2</v>
      </c>
      <c r="B37" s="7" t="s">
        <v>2</v>
      </c>
      <c r="C37" s="7" t="s">
        <v>39</v>
      </c>
      <c r="D37" s="7">
        <v>5134</v>
      </c>
      <c r="E37" s="7">
        <v>1725</v>
      </c>
      <c r="F37" s="7">
        <v>11203</v>
      </c>
      <c r="G37" s="7">
        <v>1024006.15</v>
      </c>
      <c r="H37" s="7">
        <v>920242.05</v>
      </c>
      <c r="I37" s="7">
        <v>103765.36</v>
      </c>
      <c r="J37" s="7">
        <v>110147.16</v>
      </c>
      <c r="K37" s="7">
        <v>2778</v>
      </c>
      <c r="L37" s="7">
        <v>593.63</v>
      </c>
      <c r="M37" s="7">
        <v>533.47</v>
      </c>
      <c r="N37" s="7">
        <v>0.11969368276531159</v>
      </c>
      <c r="O37" s="7">
        <v>0.54109855862874956</v>
      </c>
      <c r="Q37" t="s">
        <v>69</v>
      </c>
      <c r="R37" s="8">
        <f>SUMIFS($G$32:$G$423,$A$32:$A$423,Dashboard!$B$4,$B$32:$B$423,Dashboard!$E$4,$C$32:$C$423,Q37)/1000000</f>
        <v>0.50391081000000004</v>
      </c>
      <c r="S37" s="9">
        <f>SUMIFS($H$32:$H$423,$A$32:$A$423,Dashboard!$B$4,$B$32:$B$423,Dashboard!$E$4,$C$32:$C$423,Q37)</f>
        <v>452741.53</v>
      </c>
      <c r="T37" s="9">
        <f>SUMIFS($J$32:$J$423,$A$32:$A$423,Dashboard!$B$4,$B$32:$B$423,Dashboard!$E$4,$C$32:$C$423,Q37)</f>
        <v>65837.63</v>
      </c>
      <c r="U37">
        <f>SUMIFS($E$32:$E$423,$A$32:$A$423,Dashboard!$B$4,$B$32:$B$423,Dashboard!$E$4,$C$32:$C$423,Q37)</f>
        <v>2124</v>
      </c>
      <c r="V37" s="10">
        <f>IFERROR(SUMIFS($K$32:$K$423,$A$32:$A$423,Dashboard!$B$4,$B$32:$B$423,Dashboard!$E$4,$C$32:$C$423,Q37)/SUMIFS($D$32:$D$423,$A$32:$A$423,Dashboard!$B$4,$B$32:$B$423,Dashboard!$E$4,$C$32:$C$423,Q37),0)</f>
        <v>0.55178907721280601</v>
      </c>
    </row>
    <row r="38" spans="1:22">
      <c r="A38" s="7" t="s">
        <v>2</v>
      </c>
      <c r="B38" s="7" t="s">
        <v>2</v>
      </c>
      <c r="C38" s="7" t="s">
        <v>40</v>
      </c>
      <c r="D38" s="7">
        <v>5299</v>
      </c>
      <c r="E38" s="7">
        <v>1763</v>
      </c>
      <c r="F38" s="7">
        <v>11800</v>
      </c>
      <c r="G38" s="7">
        <v>1038081.17</v>
      </c>
      <c r="H38" s="7">
        <v>932936.78</v>
      </c>
      <c r="I38" s="7">
        <v>105145.67</v>
      </c>
      <c r="J38" s="7">
        <v>115624.06</v>
      </c>
      <c r="K38" s="7">
        <v>2939</v>
      </c>
      <c r="L38" s="7">
        <v>588.82000000000005</v>
      </c>
      <c r="M38" s="7">
        <v>529.17999999999995</v>
      </c>
      <c r="N38" s="7">
        <v>0.12393557900032626</v>
      </c>
      <c r="O38" s="7">
        <v>0.55463294961313458</v>
      </c>
      <c r="Q38" t="s">
        <v>70</v>
      </c>
      <c r="R38" s="8">
        <f>SUMIFS($G$32:$G$423,$A$32:$A$423,Dashboard!$B$4,$B$32:$B$423,Dashboard!$E$4,$C$32:$C$423,Q38)/1000000</f>
        <v>0.33165011</v>
      </c>
      <c r="S38" s="9">
        <f>SUMIFS($H$32:$H$423,$A$32:$A$423,Dashboard!$B$4,$B$32:$B$423,Dashboard!$E$4,$C$32:$C$423,Q38)</f>
        <v>297952.05</v>
      </c>
      <c r="T38" s="9">
        <f>SUMIFS($J$32:$J$423,$A$32:$A$423,Dashboard!$B$4,$B$32:$B$423,Dashboard!$E$4,$C$32:$C$423,Q38)</f>
        <v>33841.89</v>
      </c>
      <c r="U38">
        <f>SUMIFS($E$32:$E$423,$A$32:$A$423,Dashboard!$B$4,$B$32:$B$423,Dashboard!$E$4,$C$32:$C$423,Q38)</f>
        <v>2123</v>
      </c>
      <c r="V38" s="10">
        <f>IFERROR(SUMIFS($K$32:$K$423,$A$32:$A$423,Dashboard!$B$4,$B$32:$B$423,Dashboard!$E$4,$C$32:$C$423,Q38)/SUMIFS($D$32:$D$423,$A$32:$A$423,Dashboard!$B$4,$B$32:$B$423,Dashboard!$E$4,$C$32:$C$423,Q38),0)</f>
        <v>0.56288271314178051</v>
      </c>
    </row>
    <row r="39" spans="1:22">
      <c r="A39" s="7" t="s">
        <v>2</v>
      </c>
      <c r="B39" s="7" t="s">
        <v>2</v>
      </c>
      <c r="C39" s="7" t="s">
        <v>41</v>
      </c>
      <c r="D39" s="7">
        <v>5273</v>
      </c>
      <c r="E39" s="7">
        <v>1762</v>
      </c>
      <c r="F39" s="7">
        <v>11612</v>
      </c>
      <c r="G39" s="7">
        <v>1029494.67</v>
      </c>
      <c r="H39" s="7">
        <v>925192.86</v>
      </c>
      <c r="I39" s="7">
        <v>104303.01</v>
      </c>
      <c r="J39" s="7">
        <v>117979.77</v>
      </c>
      <c r="K39" s="7">
        <v>2936</v>
      </c>
      <c r="L39" s="7">
        <v>584.28</v>
      </c>
      <c r="M39" s="7">
        <v>525.08000000000004</v>
      </c>
      <c r="N39" s="7">
        <v>0.12751910990752782</v>
      </c>
      <c r="O39" s="7">
        <v>0.55679878626967572</v>
      </c>
    </row>
    <row r="40" spans="1:22">
      <c r="A40" s="7" t="s">
        <v>2</v>
      </c>
      <c r="B40" s="7" t="s">
        <v>2</v>
      </c>
      <c r="C40" s="7" t="s">
        <v>42</v>
      </c>
      <c r="D40" s="7">
        <v>5140</v>
      </c>
      <c r="E40" s="7">
        <v>1706</v>
      </c>
      <c r="F40" s="7">
        <v>11366</v>
      </c>
      <c r="G40" s="7">
        <v>1018338.58</v>
      </c>
      <c r="H40" s="7">
        <v>914522.36</v>
      </c>
      <c r="I40" s="7">
        <v>103817.56</v>
      </c>
      <c r="J40" s="7">
        <v>113467.94</v>
      </c>
      <c r="K40" s="7">
        <v>2914</v>
      </c>
      <c r="L40" s="7">
        <v>596.91999999999996</v>
      </c>
      <c r="M40" s="7">
        <v>536.05999999999995</v>
      </c>
      <c r="N40" s="7">
        <v>0.12407344529006377</v>
      </c>
      <c r="O40" s="7">
        <v>0.56692607003891049</v>
      </c>
    </row>
    <row r="41" spans="1:22">
      <c r="A41" s="7" t="s">
        <v>2</v>
      </c>
      <c r="B41" s="7" t="s">
        <v>2</v>
      </c>
      <c r="C41" s="7" t="s">
        <v>43</v>
      </c>
      <c r="D41" s="7">
        <v>5302</v>
      </c>
      <c r="E41" s="7">
        <v>1775</v>
      </c>
      <c r="F41" s="7">
        <v>11703</v>
      </c>
      <c r="G41" s="7">
        <v>1049154.25</v>
      </c>
      <c r="H41" s="7">
        <v>943131.09</v>
      </c>
      <c r="I41" s="7">
        <v>106024.42</v>
      </c>
      <c r="J41" s="7">
        <v>101757.87</v>
      </c>
      <c r="K41" s="7">
        <v>2906</v>
      </c>
      <c r="L41" s="7">
        <v>591.07000000000005</v>
      </c>
      <c r="M41" s="7">
        <v>531.34</v>
      </c>
      <c r="N41" s="7">
        <v>0.10789366513195954</v>
      </c>
      <c r="O41" s="7">
        <v>0.54809505846850248</v>
      </c>
    </row>
    <row r="42" spans="1:22">
      <c r="A42" s="7" t="s">
        <v>2</v>
      </c>
      <c r="B42" s="7" t="s">
        <v>2</v>
      </c>
      <c r="C42" s="7" t="s">
        <v>44</v>
      </c>
      <c r="D42" s="7">
        <v>5235</v>
      </c>
      <c r="E42" s="7">
        <v>1729</v>
      </c>
      <c r="F42" s="7">
        <v>11463</v>
      </c>
      <c r="G42" s="7">
        <v>1029120.22</v>
      </c>
      <c r="H42" s="7">
        <v>924602.56</v>
      </c>
      <c r="I42" s="7">
        <v>104518.97</v>
      </c>
      <c r="J42" s="7">
        <v>104427.36</v>
      </c>
      <c r="K42" s="7">
        <v>2841</v>
      </c>
      <c r="L42" s="7">
        <v>595.21</v>
      </c>
      <c r="M42" s="7">
        <v>534.76</v>
      </c>
      <c r="N42" s="7">
        <v>0.11294297086955934</v>
      </c>
      <c r="O42" s="7">
        <v>0.54269340974212033</v>
      </c>
    </row>
    <row r="43" spans="1:22">
      <c r="A43" s="7" t="s">
        <v>2</v>
      </c>
      <c r="B43" s="7" t="s">
        <v>2</v>
      </c>
      <c r="C43" s="7" t="s">
        <v>45</v>
      </c>
      <c r="D43" s="7">
        <v>5371</v>
      </c>
      <c r="E43" s="7">
        <v>1805</v>
      </c>
      <c r="F43" s="7">
        <v>11790</v>
      </c>
      <c r="G43" s="7">
        <v>1057840.8600000001</v>
      </c>
      <c r="H43" s="7">
        <v>950526.91</v>
      </c>
      <c r="I43" s="7">
        <v>107315.25</v>
      </c>
      <c r="J43" s="7">
        <v>110641.55</v>
      </c>
      <c r="K43" s="7">
        <v>2937</v>
      </c>
      <c r="L43" s="7">
        <v>586.05999999999995</v>
      </c>
      <c r="M43" s="7">
        <v>526.61</v>
      </c>
      <c r="N43" s="7">
        <v>0.11640022900561542</v>
      </c>
      <c r="O43" s="7">
        <v>0.54682554459132382</v>
      </c>
    </row>
    <row r="44" spans="1:22">
      <c r="A44" s="7" t="s">
        <v>2</v>
      </c>
      <c r="B44" s="7" t="s">
        <v>2</v>
      </c>
      <c r="C44" s="7" t="s">
        <v>46</v>
      </c>
      <c r="D44" s="7">
        <v>5317</v>
      </c>
      <c r="E44" s="7">
        <v>1772</v>
      </c>
      <c r="F44" s="7">
        <v>11597</v>
      </c>
      <c r="G44" s="7">
        <v>1046308.23</v>
      </c>
      <c r="H44" s="7">
        <v>940283.62</v>
      </c>
      <c r="I44" s="7">
        <v>106025.88</v>
      </c>
      <c r="J44" s="7">
        <v>106780.95</v>
      </c>
      <c r="K44" s="7">
        <v>2955</v>
      </c>
      <c r="L44" s="7">
        <v>590.47</v>
      </c>
      <c r="M44" s="7">
        <v>530.63</v>
      </c>
      <c r="N44" s="7">
        <v>0.1135624908578116</v>
      </c>
      <c r="O44" s="7">
        <v>0.55576452886966332</v>
      </c>
    </row>
    <row r="45" spans="1:22">
      <c r="A45" s="7" t="s">
        <v>2</v>
      </c>
      <c r="B45" s="7" t="s">
        <v>2</v>
      </c>
      <c r="C45" s="7" t="s">
        <v>47</v>
      </c>
      <c r="D45" s="7">
        <v>4894</v>
      </c>
      <c r="E45" s="7">
        <v>1650</v>
      </c>
      <c r="F45" s="7">
        <v>10765</v>
      </c>
      <c r="G45" s="7">
        <v>968542.83</v>
      </c>
      <c r="H45" s="7">
        <v>870116.74</v>
      </c>
      <c r="I45" s="7">
        <v>98427.3</v>
      </c>
      <c r="J45" s="7">
        <v>86809.49</v>
      </c>
      <c r="K45" s="7">
        <v>2650</v>
      </c>
      <c r="L45" s="7">
        <v>587</v>
      </c>
      <c r="M45" s="7">
        <v>527.34</v>
      </c>
      <c r="N45" s="7">
        <v>9.9767635777240654E-2</v>
      </c>
      <c r="O45" s="7">
        <v>0.5414793624846751</v>
      </c>
    </row>
    <row r="46" spans="1:22">
      <c r="A46" s="7" t="s">
        <v>2</v>
      </c>
      <c r="B46" s="7" t="s">
        <v>2</v>
      </c>
      <c r="C46" s="7" t="s">
        <v>48</v>
      </c>
      <c r="D46" s="7">
        <v>5210</v>
      </c>
      <c r="E46" s="7">
        <v>1764</v>
      </c>
      <c r="F46" s="7">
        <v>11349</v>
      </c>
      <c r="G46" s="7">
        <v>1025853.1</v>
      </c>
      <c r="H46" s="7">
        <v>921487.72</v>
      </c>
      <c r="I46" s="7">
        <v>104366.66</v>
      </c>
      <c r="J46" s="7">
        <v>101259.99</v>
      </c>
      <c r="K46" s="7">
        <v>2905</v>
      </c>
      <c r="L46" s="7">
        <v>581.54999999999995</v>
      </c>
      <c r="M46" s="7">
        <v>522.39</v>
      </c>
      <c r="N46" s="7">
        <v>0.10988750886446974</v>
      </c>
      <c r="O46" s="7">
        <v>0.55758157389635321</v>
      </c>
    </row>
    <row r="47" spans="1:22">
      <c r="A47" s="7" t="s">
        <v>2</v>
      </c>
      <c r="B47" s="7" t="s">
        <v>2</v>
      </c>
      <c r="C47" s="7" t="s">
        <v>49</v>
      </c>
      <c r="D47" s="7">
        <v>5097</v>
      </c>
      <c r="E47" s="7">
        <v>1706</v>
      </c>
      <c r="F47" s="7">
        <v>11208</v>
      </c>
      <c r="G47" s="7">
        <v>1001211.56</v>
      </c>
      <c r="H47" s="7">
        <v>900492.91</v>
      </c>
      <c r="I47" s="7">
        <v>100719.84</v>
      </c>
      <c r="J47" s="7">
        <v>114976.62</v>
      </c>
      <c r="K47" s="7">
        <v>2815</v>
      </c>
      <c r="L47" s="7">
        <v>586.88</v>
      </c>
      <c r="M47" s="7">
        <v>527.84</v>
      </c>
      <c r="N47" s="7">
        <v>0.12768187147636731</v>
      </c>
      <c r="O47" s="7">
        <v>0.5522856582303316</v>
      </c>
    </row>
    <row r="48" spans="1:22">
      <c r="A48" s="7" t="s">
        <v>2</v>
      </c>
      <c r="B48" s="7" t="s">
        <v>2</v>
      </c>
      <c r="C48" s="7" t="s">
        <v>50</v>
      </c>
      <c r="D48" s="7">
        <v>5302</v>
      </c>
      <c r="E48" s="7">
        <v>1763</v>
      </c>
      <c r="F48" s="7">
        <v>11603</v>
      </c>
      <c r="G48" s="7">
        <v>1029400.18</v>
      </c>
      <c r="H48" s="7">
        <v>924978.21</v>
      </c>
      <c r="I48" s="7">
        <v>104423.22</v>
      </c>
      <c r="J48" s="7">
        <v>110716.12</v>
      </c>
      <c r="K48" s="7">
        <v>2951</v>
      </c>
      <c r="L48" s="7">
        <v>583.89</v>
      </c>
      <c r="M48" s="7">
        <v>524.66</v>
      </c>
      <c r="N48" s="7">
        <v>0.11969592235043029</v>
      </c>
      <c r="O48" s="7">
        <v>0.55658242172764993</v>
      </c>
    </row>
    <row r="49" spans="1:15">
      <c r="A49" s="7" t="s">
        <v>2</v>
      </c>
      <c r="B49" s="7" t="s">
        <v>2</v>
      </c>
      <c r="C49" s="7" t="s">
        <v>51</v>
      </c>
      <c r="D49" s="7">
        <v>5054</v>
      </c>
      <c r="E49" s="7">
        <v>1690</v>
      </c>
      <c r="F49" s="7">
        <v>11008</v>
      </c>
      <c r="G49" s="7">
        <v>1003059.53</v>
      </c>
      <c r="H49" s="7">
        <v>901448</v>
      </c>
      <c r="I49" s="7">
        <v>101612.76</v>
      </c>
      <c r="J49" s="7">
        <v>104196.07</v>
      </c>
      <c r="K49" s="7">
        <v>2873</v>
      </c>
      <c r="L49" s="7">
        <v>593.53</v>
      </c>
      <c r="M49" s="7">
        <v>533.4</v>
      </c>
      <c r="N49" s="7">
        <v>0.11558744375715516</v>
      </c>
      <c r="O49" s="7">
        <v>0.56846062524732888</v>
      </c>
    </row>
    <row r="50" spans="1:15">
      <c r="A50" s="7" t="s">
        <v>2</v>
      </c>
      <c r="B50" s="7" t="s">
        <v>2</v>
      </c>
      <c r="C50" s="7" t="s">
        <v>52</v>
      </c>
      <c r="D50" s="7">
        <v>5305</v>
      </c>
      <c r="E50" s="7">
        <v>1758</v>
      </c>
      <c r="F50" s="7">
        <v>11652</v>
      </c>
      <c r="G50" s="7">
        <v>1045715.6</v>
      </c>
      <c r="H50" s="7">
        <v>939216.39</v>
      </c>
      <c r="I50" s="7">
        <v>106500.52</v>
      </c>
      <c r="J50" s="7">
        <v>119941.72</v>
      </c>
      <c r="K50" s="7">
        <v>2755</v>
      </c>
      <c r="L50" s="7">
        <v>594.83000000000004</v>
      </c>
      <c r="M50" s="7">
        <v>534.25</v>
      </c>
      <c r="N50" s="7">
        <v>0.12770403208146741</v>
      </c>
      <c r="O50" s="7">
        <v>0.51932139491046181</v>
      </c>
    </row>
    <row r="51" spans="1:15">
      <c r="A51" s="7" t="s">
        <v>2</v>
      </c>
      <c r="B51" s="7" t="s">
        <v>2</v>
      </c>
      <c r="C51" s="7" t="s">
        <v>53</v>
      </c>
      <c r="D51" s="7">
        <v>5334</v>
      </c>
      <c r="E51" s="7">
        <v>1766</v>
      </c>
      <c r="F51" s="7">
        <v>11683</v>
      </c>
      <c r="G51" s="7">
        <v>1048200.23</v>
      </c>
      <c r="H51" s="7">
        <v>942408.93</v>
      </c>
      <c r="I51" s="7">
        <v>105792.52</v>
      </c>
      <c r="J51" s="7">
        <v>110729.54</v>
      </c>
      <c r="K51" s="7">
        <v>2948</v>
      </c>
      <c r="L51" s="7">
        <v>593.54</v>
      </c>
      <c r="M51" s="7">
        <v>533.64</v>
      </c>
      <c r="N51" s="7">
        <v>0.11749627627149076</v>
      </c>
      <c r="O51" s="7">
        <v>0.55268091488563931</v>
      </c>
    </row>
    <row r="52" spans="1:15">
      <c r="A52" s="7" t="s">
        <v>2</v>
      </c>
      <c r="B52" s="7" t="s">
        <v>2</v>
      </c>
      <c r="C52" s="7" t="s">
        <v>54</v>
      </c>
      <c r="D52" s="7">
        <v>5160</v>
      </c>
      <c r="E52" s="7">
        <v>1730</v>
      </c>
      <c r="F52" s="7">
        <v>11284</v>
      </c>
      <c r="G52" s="7">
        <v>1002397.02</v>
      </c>
      <c r="H52" s="7">
        <v>900371.62</v>
      </c>
      <c r="I52" s="7">
        <v>102026.62</v>
      </c>
      <c r="J52" s="7">
        <v>123384.71</v>
      </c>
      <c r="K52" s="7">
        <v>2837</v>
      </c>
      <c r="L52" s="7">
        <v>579.41999999999996</v>
      </c>
      <c r="M52" s="7">
        <v>520.45000000000005</v>
      </c>
      <c r="N52" s="7">
        <v>0.13703753790018394</v>
      </c>
      <c r="O52" s="7">
        <v>0.54980620155038762</v>
      </c>
    </row>
    <row r="53" spans="1:15">
      <c r="A53" s="7" t="s">
        <v>2</v>
      </c>
      <c r="B53" s="7" t="s">
        <v>2</v>
      </c>
      <c r="C53" s="7" t="s">
        <v>55</v>
      </c>
      <c r="D53" s="7">
        <v>5398</v>
      </c>
      <c r="E53" s="7">
        <v>1776</v>
      </c>
      <c r="F53" s="7">
        <v>11936</v>
      </c>
      <c r="G53" s="7">
        <v>1048130.53</v>
      </c>
      <c r="H53" s="7">
        <v>941882.27</v>
      </c>
      <c r="I53" s="7">
        <v>106249.53</v>
      </c>
      <c r="J53" s="7">
        <v>116781.97</v>
      </c>
      <c r="K53" s="7">
        <v>2957</v>
      </c>
      <c r="L53" s="7">
        <v>590.16</v>
      </c>
      <c r="M53" s="7">
        <v>530.34</v>
      </c>
      <c r="N53" s="7">
        <v>0.12398786315406489</v>
      </c>
      <c r="O53" s="7">
        <v>0.54779547980733601</v>
      </c>
    </row>
    <row r="54" spans="1:15">
      <c r="A54" s="7" t="s">
        <v>2</v>
      </c>
      <c r="B54" s="7" t="s">
        <v>2</v>
      </c>
      <c r="C54" s="7" t="s">
        <v>56</v>
      </c>
      <c r="D54" s="7">
        <v>5210</v>
      </c>
      <c r="E54" s="7">
        <v>1721</v>
      </c>
      <c r="F54" s="7">
        <v>11493</v>
      </c>
      <c r="G54" s="7">
        <v>1047590.12</v>
      </c>
      <c r="H54" s="7">
        <v>941197.35</v>
      </c>
      <c r="I54" s="7">
        <v>106394.08</v>
      </c>
      <c r="J54" s="7">
        <v>109539.2</v>
      </c>
      <c r="K54" s="7">
        <v>2846</v>
      </c>
      <c r="L54" s="7">
        <v>608.71</v>
      </c>
      <c r="M54" s="7">
        <v>546.89</v>
      </c>
      <c r="N54" s="7">
        <v>0.11638281811991927</v>
      </c>
      <c r="O54" s="7">
        <v>0.54625719769673708</v>
      </c>
    </row>
    <row r="55" spans="1:15">
      <c r="A55" s="7" t="s">
        <v>2</v>
      </c>
      <c r="B55" s="7" t="s">
        <v>2</v>
      </c>
      <c r="C55" s="7" t="s">
        <v>57</v>
      </c>
      <c r="D55" s="7">
        <v>5269</v>
      </c>
      <c r="E55" s="7">
        <v>1763</v>
      </c>
      <c r="F55" s="7">
        <v>11774</v>
      </c>
      <c r="G55" s="7">
        <v>1037408.15</v>
      </c>
      <c r="H55" s="7">
        <v>932112.88</v>
      </c>
      <c r="I55" s="7">
        <v>105296.6</v>
      </c>
      <c r="J55" s="7">
        <v>105002.69</v>
      </c>
      <c r="K55" s="7">
        <v>2954</v>
      </c>
      <c r="L55" s="7">
        <v>588.42999999999995</v>
      </c>
      <c r="M55" s="7">
        <v>528.71</v>
      </c>
      <c r="N55" s="7">
        <v>0.11265018674562248</v>
      </c>
      <c r="O55" s="7">
        <v>0.56063769216170056</v>
      </c>
    </row>
    <row r="56" spans="1:15">
      <c r="A56" s="7" t="s">
        <v>2</v>
      </c>
      <c r="B56" s="7" t="s">
        <v>2</v>
      </c>
      <c r="C56" s="7" t="s">
        <v>58</v>
      </c>
      <c r="D56" s="7">
        <v>5217</v>
      </c>
      <c r="E56" s="7">
        <v>1745</v>
      </c>
      <c r="F56" s="7">
        <v>11605</v>
      </c>
      <c r="G56" s="7">
        <v>1029698</v>
      </c>
      <c r="H56" s="7">
        <v>925472.61</v>
      </c>
      <c r="I56" s="7">
        <v>104226.64</v>
      </c>
      <c r="J56" s="7">
        <v>114843.85</v>
      </c>
      <c r="K56" s="7">
        <v>2797</v>
      </c>
      <c r="L56" s="7">
        <v>590.08000000000004</v>
      </c>
      <c r="M56" s="7">
        <v>530.36</v>
      </c>
      <c r="N56" s="7">
        <v>0.12409211116469455</v>
      </c>
      <c r="O56" s="7">
        <v>0.53613187655740846</v>
      </c>
    </row>
    <row r="57" spans="1:15">
      <c r="A57" s="7" t="s">
        <v>2</v>
      </c>
      <c r="B57" s="7" t="s">
        <v>2</v>
      </c>
      <c r="C57" s="7" t="s">
        <v>59</v>
      </c>
      <c r="D57" s="7">
        <v>4906</v>
      </c>
      <c r="E57" s="7">
        <v>1614</v>
      </c>
      <c r="F57" s="7">
        <v>11070</v>
      </c>
      <c r="G57" s="7">
        <v>992534.88</v>
      </c>
      <c r="H57" s="7">
        <v>891924.28</v>
      </c>
      <c r="I57" s="7">
        <v>100611.81</v>
      </c>
      <c r="J57" s="7">
        <v>115111.07</v>
      </c>
      <c r="K57" s="7">
        <v>2682</v>
      </c>
      <c r="L57" s="7">
        <v>614.95000000000005</v>
      </c>
      <c r="M57" s="7">
        <v>552.62</v>
      </c>
      <c r="N57" s="7">
        <v>0.12905924032026575</v>
      </c>
      <c r="O57" s="7">
        <v>0.5466775377089278</v>
      </c>
    </row>
    <row r="58" spans="1:15">
      <c r="A58" s="7" t="s">
        <v>2</v>
      </c>
      <c r="B58" s="7" t="s">
        <v>2</v>
      </c>
      <c r="C58" s="7" t="s">
        <v>60</v>
      </c>
      <c r="D58" s="7">
        <v>5347</v>
      </c>
      <c r="E58" s="7">
        <v>1782</v>
      </c>
      <c r="F58" s="7">
        <v>11676</v>
      </c>
      <c r="G58" s="7">
        <v>1048004.76</v>
      </c>
      <c r="H58" s="7">
        <v>942290.42</v>
      </c>
      <c r="I58" s="7">
        <v>105715.63</v>
      </c>
      <c r="J58" s="7">
        <v>118688.9</v>
      </c>
      <c r="K58" s="7">
        <v>2955</v>
      </c>
      <c r="L58" s="7">
        <v>588.11</v>
      </c>
      <c r="M58" s="7">
        <v>528.78</v>
      </c>
      <c r="N58" s="7">
        <v>0.12595787612910253</v>
      </c>
      <c r="O58" s="7">
        <v>0.55264634374415555</v>
      </c>
    </row>
    <row r="59" spans="1:15">
      <c r="A59" s="7" t="s">
        <v>2</v>
      </c>
      <c r="B59" s="7" t="s">
        <v>2</v>
      </c>
      <c r="C59" s="7" t="s">
        <v>61</v>
      </c>
      <c r="D59" s="7">
        <v>5212</v>
      </c>
      <c r="E59" s="7">
        <v>1739</v>
      </c>
      <c r="F59" s="7">
        <v>11189</v>
      </c>
      <c r="G59" s="7">
        <v>1038321.6</v>
      </c>
      <c r="H59" s="7">
        <v>932318.19</v>
      </c>
      <c r="I59" s="7">
        <v>106004.69</v>
      </c>
      <c r="J59" s="7">
        <v>115961.06</v>
      </c>
      <c r="K59" s="7">
        <v>2803</v>
      </c>
      <c r="L59" s="7">
        <v>597.08000000000004</v>
      </c>
      <c r="M59" s="7">
        <v>536.12</v>
      </c>
      <c r="N59" s="7">
        <v>0.12437927441917655</v>
      </c>
      <c r="O59" s="7">
        <v>0.53779739063699161</v>
      </c>
    </row>
    <row r="60" spans="1:15">
      <c r="A60" s="7" t="s">
        <v>2</v>
      </c>
      <c r="B60" s="7" t="s">
        <v>2</v>
      </c>
      <c r="C60" s="7" t="s">
        <v>62</v>
      </c>
      <c r="D60" s="7">
        <v>5317</v>
      </c>
      <c r="E60" s="7">
        <v>1763</v>
      </c>
      <c r="F60" s="7">
        <v>11033</v>
      </c>
      <c r="G60" s="7">
        <v>1105485.3</v>
      </c>
      <c r="H60" s="7">
        <v>993199.04</v>
      </c>
      <c r="I60" s="7">
        <v>112287.53</v>
      </c>
      <c r="J60" s="7">
        <v>115014.64</v>
      </c>
      <c r="K60" s="7">
        <v>2843</v>
      </c>
      <c r="L60" s="7">
        <v>627.04999999999995</v>
      </c>
      <c r="M60" s="7">
        <v>563.36</v>
      </c>
      <c r="N60" s="7">
        <v>0.11580220617208813</v>
      </c>
      <c r="O60" s="7">
        <v>0.53470001880759832</v>
      </c>
    </row>
    <row r="61" spans="1:15">
      <c r="A61" s="7" t="s">
        <v>2</v>
      </c>
      <c r="B61" s="7" t="s">
        <v>2</v>
      </c>
      <c r="C61" s="7" t="s">
        <v>63</v>
      </c>
      <c r="D61" s="7">
        <v>4951</v>
      </c>
      <c r="E61" s="7">
        <v>1676</v>
      </c>
      <c r="F61" s="7">
        <v>10194</v>
      </c>
      <c r="G61" s="7">
        <v>1032086.47</v>
      </c>
      <c r="H61" s="7">
        <v>927445.96</v>
      </c>
      <c r="I61" s="7">
        <v>104641.62</v>
      </c>
      <c r="J61" s="7">
        <v>110399.29</v>
      </c>
      <c r="K61" s="7">
        <v>2649</v>
      </c>
      <c r="L61" s="7">
        <v>615.79999999999995</v>
      </c>
      <c r="M61" s="7">
        <v>553.37</v>
      </c>
      <c r="N61" s="7">
        <v>0.11903581961799693</v>
      </c>
      <c r="O61" s="7">
        <v>0.53504342557059181</v>
      </c>
    </row>
    <row r="62" spans="1:15">
      <c r="A62" s="7" t="s">
        <v>2</v>
      </c>
      <c r="B62" s="7" t="s">
        <v>2</v>
      </c>
      <c r="C62" s="7" t="s">
        <v>64</v>
      </c>
      <c r="D62" s="7">
        <v>5318</v>
      </c>
      <c r="E62" s="7">
        <v>1776</v>
      </c>
      <c r="F62" s="7">
        <v>11091</v>
      </c>
      <c r="G62" s="7">
        <v>1104373.3400000001</v>
      </c>
      <c r="H62" s="7">
        <v>992423.42</v>
      </c>
      <c r="I62" s="7">
        <v>111951.16</v>
      </c>
      <c r="J62" s="7">
        <v>113026.7</v>
      </c>
      <c r="K62" s="7">
        <v>2913</v>
      </c>
      <c r="L62" s="7">
        <v>621.83000000000004</v>
      </c>
      <c r="M62" s="7">
        <v>558.79999999999995</v>
      </c>
      <c r="N62" s="7">
        <v>0.11388959361720825</v>
      </c>
      <c r="O62" s="7">
        <v>0.54776231666039865</v>
      </c>
    </row>
    <row r="63" spans="1:15">
      <c r="A63" s="7" t="s">
        <v>2</v>
      </c>
      <c r="B63" s="7" t="s">
        <v>2</v>
      </c>
      <c r="C63" s="7" t="s">
        <v>65</v>
      </c>
      <c r="D63" s="7">
        <v>5305</v>
      </c>
      <c r="E63" s="7">
        <v>1768</v>
      </c>
      <c r="F63" s="7">
        <v>11095</v>
      </c>
      <c r="G63" s="7">
        <v>1109337.1499999999</v>
      </c>
      <c r="H63" s="7">
        <v>996507.87</v>
      </c>
      <c r="I63" s="7">
        <v>112830.56</v>
      </c>
      <c r="J63" s="7">
        <v>131501.16</v>
      </c>
      <c r="K63" s="7">
        <v>2994</v>
      </c>
      <c r="L63" s="7">
        <v>627.45000000000005</v>
      </c>
      <c r="M63" s="7">
        <v>563.64</v>
      </c>
      <c r="N63" s="7">
        <v>0.13196198841861631</v>
      </c>
      <c r="O63" s="7">
        <v>0.56437323279924601</v>
      </c>
    </row>
    <row r="64" spans="1:15">
      <c r="A64" s="7" t="s">
        <v>2</v>
      </c>
      <c r="B64" s="7" t="s">
        <v>2</v>
      </c>
      <c r="C64" s="7" t="s">
        <v>66</v>
      </c>
      <c r="D64" s="7">
        <v>5189</v>
      </c>
      <c r="E64" s="7">
        <v>1723</v>
      </c>
      <c r="F64" s="7">
        <v>10502</v>
      </c>
      <c r="G64" s="7">
        <v>1143775.0900000001</v>
      </c>
      <c r="H64" s="7">
        <v>1027111.72</v>
      </c>
      <c r="I64" s="7">
        <v>116664.51</v>
      </c>
      <c r="J64" s="7">
        <v>122462.39</v>
      </c>
      <c r="K64" s="7">
        <v>2814</v>
      </c>
      <c r="L64" s="7">
        <v>663.83</v>
      </c>
      <c r="M64" s="7">
        <v>596.12</v>
      </c>
      <c r="N64" s="7">
        <v>0.11922986332976514</v>
      </c>
      <c r="O64" s="7">
        <v>0.5423010213914049</v>
      </c>
    </row>
    <row r="65" spans="1:15">
      <c r="A65" s="7" t="s">
        <v>2</v>
      </c>
      <c r="B65" s="7" t="s">
        <v>2</v>
      </c>
      <c r="C65" s="7" t="s">
        <v>67</v>
      </c>
      <c r="D65" s="7">
        <v>2255</v>
      </c>
      <c r="E65" s="7">
        <v>2101</v>
      </c>
      <c r="F65" s="7">
        <v>2490</v>
      </c>
      <c r="G65" s="7">
        <v>1073994.1599999999</v>
      </c>
      <c r="H65" s="7">
        <v>966081.41</v>
      </c>
      <c r="I65" s="7">
        <v>107913.68</v>
      </c>
      <c r="J65" s="7">
        <v>113447.17</v>
      </c>
      <c r="K65" s="7">
        <v>1210</v>
      </c>
      <c r="L65" s="7">
        <v>511.18</v>
      </c>
      <c r="M65" s="7">
        <v>459.82</v>
      </c>
      <c r="N65" s="7">
        <v>0.11743023809970632</v>
      </c>
      <c r="O65" s="7">
        <v>0.53658536585365857</v>
      </c>
    </row>
    <row r="66" spans="1:15">
      <c r="A66" s="7" t="s">
        <v>2</v>
      </c>
      <c r="B66" s="7" t="s">
        <v>2</v>
      </c>
      <c r="C66" s="7" t="s">
        <v>68</v>
      </c>
      <c r="D66" s="7">
        <v>2055</v>
      </c>
      <c r="E66" s="7">
        <v>2055</v>
      </c>
      <c r="F66" s="7">
        <v>2055</v>
      </c>
      <c r="G66" s="7">
        <v>626914.37</v>
      </c>
      <c r="H66" s="7">
        <v>563393.47</v>
      </c>
      <c r="I66" s="7">
        <v>63521.58</v>
      </c>
      <c r="J66" s="7">
        <v>67791.25</v>
      </c>
      <c r="K66" s="7">
        <v>1132</v>
      </c>
      <c r="L66" s="7">
        <v>305.07</v>
      </c>
      <c r="M66" s="7">
        <v>274.16000000000003</v>
      </c>
      <c r="N66" s="7">
        <v>0.12032665199332183</v>
      </c>
      <c r="O66" s="7">
        <v>0.55085158150851576</v>
      </c>
    </row>
    <row r="67" spans="1:15">
      <c r="A67" s="7" t="s">
        <v>2</v>
      </c>
      <c r="B67" s="7" t="s">
        <v>2</v>
      </c>
      <c r="C67" s="7" t="s">
        <v>69</v>
      </c>
      <c r="D67" s="7">
        <v>2124</v>
      </c>
      <c r="E67" s="7">
        <v>2124</v>
      </c>
      <c r="F67" s="7">
        <v>2124</v>
      </c>
      <c r="G67" s="7">
        <v>503910.81</v>
      </c>
      <c r="H67" s="7">
        <v>452741.53</v>
      </c>
      <c r="I67" s="7">
        <v>51170.48</v>
      </c>
      <c r="J67" s="7">
        <v>65837.63</v>
      </c>
      <c r="K67" s="7">
        <v>1172</v>
      </c>
      <c r="L67" s="7">
        <v>237.25</v>
      </c>
      <c r="M67" s="7">
        <v>213.16</v>
      </c>
      <c r="N67" s="7">
        <v>0.14541990437678645</v>
      </c>
      <c r="O67" s="7">
        <v>0.55178907721280601</v>
      </c>
    </row>
    <row r="68" spans="1:15">
      <c r="A68" s="7" t="s">
        <v>2</v>
      </c>
      <c r="B68" s="7" t="s">
        <v>2</v>
      </c>
      <c r="C68" s="7" t="s">
        <v>70</v>
      </c>
      <c r="D68" s="7">
        <v>2123</v>
      </c>
      <c r="E68" s="7">
        <v>2123</v>
      </c>
      <c r="F68" s="7">
        <v>2123</v>
      </c>
      <c r="G68" s="7">
        <v>331650.11</v>
      </c>
      <c r="H68" s="7">
        <v>297952.05</v>
      </c>
      <c r="I68" s="7">
        <v>33699.93</v>
      </c>
      <c r="J68" s="7">
        <v>33841.89</v>
      </c>
      <c r="K68" s="7">
        <v>1195</v>
      </c>
      <c r="L68" s="7">
        <v>156.22</v>
      </c>
      <c r="M68" s="7">
        <v>140.34</v>
      </c>
      <c r="N68" s="7">
        <v>0.11358166523774547</v>
      </c>
      <c r="O68" s="7">
        <v>0.56288271314178051</v>
      </c>
    </row>
    <row r="69" spans="1:15">
      <c r="A69" s="7" t="s">
        <v>2</v>
      </c>
      <c r="B69" s="7" t="s">
        <v>77</v>
      </c>
      <c r="C69" s="7" t="s">
        <v>30</v>
      </c>
      <c r="D69" s="7">
        <v>2763</v>
      </c>
      <c r="E69" s="7">
        <v>928</v>
      </c>
      <c r="F69" s="7">
        <v>6082</v>
      </c>
      <c r="G69" s="7">
        <v>547482.5</v>
      </c>
      <c r="H69" s="7">
        <v>491967.89</v>
      </c>
      <c r="I69" s="7">
        <v>55515.41</v>
      </c>
      <c r="J69" s="7">
        <v>62962.400000000001</v>
      </c>
      <c r="K69" s="7">
        <v>1545</v>
      </c>
      <c r="L69" s="7">
        <v>589.96</v>
      </c>
      <c r="M69" s="7">
        <v>530.14</v>
      </c>
      <c r="N69" s="7">
        <v>0.12798071028578714</v>
      </c>
      <c r="O69" s="7">
        <v>0.55917480998914226</v>
      </c>
    </row>
    <row r="70" spans="1:15">
      <c r="A70" s="7" t="s">
        <v>2</v>
      </c>
      <c r="B70" s="7" t="s">
        <v>77</v>
      </c>
      <c r="C70" s="7" t="s">
        <v>33</v>
      </c>
      <c r="D70" s="7">
        <v>2418</v>
      </c>
      <c r="E70" s="7">
        <v>815</v>
      </c>
      <c r="F70" s="7">
        <v>5309</v>
      </c>
      <c r="G70" s="7">
        <v>476562.84</v>
      </c>
      <c r="H70" s="7">
        <v>428519.87</v>
      </c>
      <c r="I70" s="7">
        <v>48043.58</v>
      </c>
      <c r="J70" s="7">
        <v>50244.79</v>
      </c>
      <c r="K70" s="7">
        <v>1341</v>
      </c>
      <c r="L70" s="7">
        <v>584.74</v>
      </c>
      <c r="M70" s="7">
        <v>525.79</v>
      </c>
      <c r="N70" s="7">
        <v>0.11725194913365394</v>
      </c>
      <c r="O70" s="7">
        <v>0.55459057071960294</v>
      </c>
    </row>
    <row r="71" spans="1:15">
      <c r="A71" s="7" t="s">
        <v>2</v>
      </c>
      <c r="B71" s="7" t="s">
        <v>77</v>
      </c>
      <c r="C71" s="7" t="s">
        <v>35</v>
      </c>
      <c r="D71" s="7">
        <v>2795</v>
      </c>
      <c r="E71" s="7">
        <v>946</v>
      </c>
      <c r="F71" s="7">
        <v>6465</v>
      </c>
      <c r="G71" s="7">
        <v>548665.65</v>
      </c>
      <c r="H71" s="7">
        <v>492583.95</v>
      </c>
      <c r="I71" s="7">
        <v>56082.42</v>
      </c>
      <c r="J71" s="7">
        <v>54391.32</v>
      </c>
      <c r="K71" s="7">
        <v>1550</v>
      </c>
      <c r="L71" s="7">
        <v>579.98</v>
      </c>
      <c r="M71" s="7">
        <v>520.70000000000005</v>
      </c>
      <c r="N71" s="7">
        <v>0.110420406511418</v>
      </c>
      <c r="O71" s="7">
        <v>0.554561717352415</v>
      </c>
    </row>
    <row r="72" spans="1:15">
      <c r="A72" s="7" t="s">
        <v>2</v>
      </c>
      <c r="B72" s="7" t="s">
        <v>77</v>
      </c>
      <c r="C72" s="7" t="s">
        <v>36</v>
      </c>
      <c r="D72" s="7">
        <v>2728</v>
      </c>
      <c r="E72" s="7">
        <v>907</v>
      </c>
      <c r="F72" s="7">
        <v>6023</v>
      </c>
      <c r="G72" s="7">
        <v>546105.86</v>
      </c>
      <c r="H72" s="7">
        <v>491956.84</v>
      </c>
      <c r="I72" s="7">
        <v>54149.760000000002</v>
      </c>
      <c r="J72" s="7">
        <v>60452.13</v>
      </c>
      <c r="K72" s="7">
        <v>1484</v>
      </c>
      <c r="L72" s="7">
        <v>602.1</v>
      </c>
      <c r="M72" s="7">
        <v>542.4</v>
      </c>
      <c r="N72" s="7">
        <v>0.12288096248443256</v>
      </c>
      <c r="O72" s="7">
        <v>0.54398826979472137</v>
      </c>
    </row>
    <row r="73" spans="1:15">
      <c r="A73" s="7" t="s">
        <v>2</v>
      </c>
      <c r="B73" s="7" t="s">
        <v>77</v>
      </c>
      <c r="C73" s="7" t="s">
        <v>37</v>
      </c>
      <c r="D73" s="7">
        <v>2723</v>
      </c>
      <c r="E73" s="7">
        <v>907</v>
      </c>
      <c r="F73" s="7">
        <v>6109</v>
      </c>
      <c r="G73" s="7">
        <v>529553.31999999995</v>
      </c>
      <c r="H73" s="7">
        <v>476796.36</v>
      </c>
      <c r="I73" s="7">
        <v>52757.52</v>
      </c>
      <c r="J73" s="7">
        <v>55547.68</v>
      </c>
      <c r="K73" s="7">
        <v>1488</v>
      </c>
      <c r="L73" s="7">
        <v>583.85</v>
      </c>
      <c r="M73" s="7">
        <v>525.69000000000005</v>
      </c>
      <c r="N73" s="7">
        <v>0.11650189611346866</v>
      </c>
      <c r="O73" s="7">
        <v>0.54645611457950793</v>
      </c>
    </row>
    <row r="74" spans="1:15">
      <c r="A74" s="7" t="s">
        <v>2</v>
      </c>
      <c r="B74" s="7" t="s">
        <v>77</v>
      </c>
      <c r="C74" s="7" t="s">
        <v>39</v>
      </c>
      <c r="D74" s="7">
        <v>2670</v>
      </c>
      <c r="E74" s="7">
        <v>890</v>
      </c>
      <c r="F74" s="7">
        <v>5907</v>
      </c>
      <c r="G74" s="7">
        <v>535247.82999999996</v>
      </c>
      <c r="H74" s="7">
        <v>479756.89</v>
      </c>
      <c r="I74" s="7">
        <v>55491.63</v>
      </c>
      <c r="J74" s="7">
        <v>60763.22</v>
      </c>
      <c r="K74" s="7">
        <v>1527</v>
      </c>
      <c r="L74" s="7">
        <v>601.4</v>
      </c>
      <c r="M74" s="7">
        <v>539.04999999999995</v>
      </c>
      <c r="N74" s="7">
        <v>0.12665418937495612</v>
      </c>
      <c r="O74" s="7">
        <v>0.57191011235955058</v>
      </c>
    </row>
    <row r="75" spans="1:15">
      <c r="A75" s="7" t="s">
        <v>2</v>
      </c>
      <c r="B75" s="7" t="s">
        <v>77</v>
      </c>
      <c r="C75" s="7" t="s">
        <v>40</v>
      </c>
      <c r="D75" s="7">
        <v>2688</v>
      </c>
      <c r="E75" s="7">
        <v>899</v>
      </c>
      <c r="F75" s="7">
        <v>5945</v>
      </c>
      <c r="G75" s="7">
        <v>527297.43000000005</v>
      </c>
      <c r="H75" s="7">
        <v>474008.13</v>
      </c>
      <c r="I75" s="7">
        <v>53289.919999999998</v>
      </c>
      <c r="J75" s="7">
        <v>61223.24</v>
      </c>
      <c r="K75" s="7">
        <v>1452</v>
      </c>
      <c r="L75" s="7">
        <v>586.54</v>
      </c>
      <c r="M75" s="7">
        <v>527.26</v>
      </c>
      <c r="N75" s="7">
        <v>0.12916073823459526</v>
      </c>
      <c r="O75" s="7">
        <v>0.5401785714285714</v>
      </c>
    </row>
    <row r="76" spans="1:15">
      <c r="A76" s="7" t="s">
        <v>2</v>
      </c>
      <c r="B76" s="7" t="s">
        <v>77</v>
      </c>
      <c r="C76" s="7" t="s">
        <v>41</v>
      </c>
      <c r="D76" s="7">
        <v>2709</v>
      </c>
      <c r="E76" s="7">
        <v>893</v>
      </c>
      <c r="F76" s="7">
        <v>6081</v>
      </c>
      <c r="G76" s="7">
        <v>530694.29</v>
      </c>
      <c r="H76" s="7">
        <v>476855.15</v>
      </c>
      <c r="I76" s="7">
        <v>53839.72</v>
      </c>
      <c r="J76" s="7">
        <v>56663.4</v>
      </c>
      <c r="K76" s="7">
        <v>1483</v>
      </c>
      <c r="L76" s="7">
        <v>594.28</v>
      </c>
      <c r="M76" s="7">
        <v>533.99</v>
      </c>
      <c r="N76" s="7">
        <v>0.11882727910142105</v>
      </c>
      <c r="O76" s="7">
        <v>0.54743447766703579</v>
      </c>
    </row>
    <row r="77" spans="1:15">
      <c r="A77" s="7" t="s">
        <v>2</v>
      </c>
      <c r="B77" s="7" t="s">
        <v>77</v>
      </c>
      <c r="C77" s="7" t="s">
        <v>42</v>
      </c>
      <c r="D77" s="7">
        <v>2709</v>
      </c>
      <c r="E77" s="7">
        <v>901</v>
      </c>
      <c r="F77" s="7">
        <v>5971</v>
      </c>
      <c r="G77" s="7">
        <v>535371.13</v>
      </c>
      <c r="H77" s="7">
        <v>481417.61</v>
      </c>
      <c r="I77" s="7">
        <v>53954.21</v>
      </c>
      <c r="J77" s="7">
        <v>68083.11</v>
      </c>
      <c r="K77" s="7">
        <v>1574</v>
      </c>
      <c r="L77" s="7">
        <v>594.20000000000005</v>
      </c>
      <c r="M77" s="7">
        <v>534.30999999999995</v>
      </c>
      <c r="N77" s="7">
        <v>0.14142214282522819</v>
      </c>
      <c r="O77" s="7">
        <v>0.58102620893318568</v>
      </c>
    </row>
    <row r="78" spans="1:15">
      <c r="A78" s="7" t="s">
        <v>2</v>
      </c>
      <c r="B78" s="7" t="s">
        <v>77</v>
      </c>
      <c r="C78" s="7" t="s">
        <v>43</v>
      </c>
      <c r="D78" s="7">
        <v>2663</v>
      </c>
      <c r="E78" s="7">
        <v>893</v>
      </c>
      <c r="F78" s="7">
        <v>5887</v>
      </c>
      <c r="G78" s="7">
        <v>528978.1</v>
      </c>
      <c r="H78" s="7">
        <v>475330.74</v>
      </c>
      <c r="I78" s="7">
        <v>53648.01</v>
      </c>
      <c r="J78" s="7">
        <v>45932.04</v>
      </c>
      <c r="K78" s="7">
        <v>1495</v>
      </c>
      <c r="L78" s="7">
        <v>592.36</v>
      </c>
      <c r="M78" s="7">
        <v>532.29</v>
      </c>
      <c r="N78" s="7">
        <v>9.6631747401819623E-2</v>
      </c>
      <c r="O78" s="7">
        <v>0.5613969207660533</v>
      </c>
    </row>
    <row r="79" spans="1:15">
      <c r="A79" s="7" t="s">
        <v>2</v>
      </c>
      <c r="B79" s="7" t="s">
        <v>77</v>
      </c>
      <c r="C79" s="7" t="s">
        <v>44</v>
      </c>
      <c r="D79" s="7">
        <v>2693</v>
      </c>
      <c r="E79" s="7">
        <v>902</v>
      </c>
      <c r="F79" s="7">
        <v>5977</v>
      </c>
      <c r="G79" s="7">
        <v>533532.73</v>
      </c>
      <c r="H79" s="7">
        <v>478963.51</v>
      </c>
      <c r="I79" s="7">
        <v>54569.9</v>
      </c>
      <c r="J79" s="7">
        <v>57617.46</v>
      </c>
      <c r="K79" s="7">
        <v>1497</v>
      </c>
      <c r="L79" s="7">
        <v>591.5</v>
      </c>
      <c r="M79" s="7">
        <v>531</v>
      </c>
      <c r="N79" s="7">
        <v>0.12029613696458838</v>
      </c>
      <c r="O79" s="7">
        <v>0.55588562940958042</v>
      </c>
    </row>
    <row r="80" spans="1:15">
      <c r="A80" s="7" t="s">
        <v>2</v>
      </c>
      <c r="B80" s="7" t="s">
        <v>77</v>
      </c>
      <c r="C80" s="7" t="s">
        <v>45</v>
      </c>
      <c r="D80" s="7">
        <v>2719</v>
      </c>
      <c r="E80" s="7">
        <v>919</v>
      </c>
      <c r="F80" s="7">
        <v>5898</v>
      </c>
      <c r="G80" s="7">
        <v>535432.56999999995</v>
      </c>
      <c r="H80" s="7">
        <v>481853.93</v>
      </c>
      <c r="I80" s="7">
        <v>53579.28</v>
      </c>
      <c r="J80" s="7">
        <v>57324.49</v>
      </c>
      <c r="K80" s="7">
        <v>1496</v>
      </c>
      <c r="L80" s="7">
        <v>582.63</v>
      </c>
      <c r="M80" s="7">
        <v>524.32000000000005</v>
      </c>
      <c r="N80" s="7">
        <v>0.11896652996064595</v>
      </c>
      <c r="O80" s="7">
        <v>0.55020228025009199</v>
      </c>
    </row>
    <row r="81" spans="1:15">
      <c r="A81" s="7" t="s">
        <v>2</v>
      </c>
      <c r="B81" s="7" t="s">
        <v>77</v>
      </c>
      <c r="C81" s="7" t="s">
        <v>46</v>
      </c>
      <c r="D81" s="7">
        <v>2689</v>
      </c>
      <c r="E81" s="7">
        <v>904</v>
      </c>
      <c r="F81" s="7">
        <v>5961</v>
      </c>
      <c r="G81" s="7">
        <v>527335.15</v>
      </c>
      <c r="H81" s="7">
        <v>473189.59</v>
      </c>
      <c r="I81" s="7">
        <v>54146.27</v>
      </c>
      <c r="J81" s="7">
        <v>48443</v>
      </c>
      <c r="K81" s="7">
        <v>1455</v>
      </c>
      <c r="L81" s="7">
        <v>583.34</v>
      </c>
      <c r="M81" s="7">
        <v>523.44000000000005</v>
      </c>
      <c r="N81" s="7">
        <v>0.10237545589284835</v>
      </c>
      <c r="O81" s="7">
        <v>0.54109334325027891</v>
      </c>
    </row>
    <row r="82" spans="1:15">
      <c r="A82" s="7" t="s">
        <v>2</v>
      </c>
      <c r="B82" s="7" t="s">
        <v>77</v>
      </c>
      <c r="C82" s="7" t="s">
        <v>47</v>
      </c>
      <c r="D82" s="7">
        <v>2553</v>
      </c>
      <c r="E82" s="7">
        <v>871</v>
      </c>
      <c r="F82" s="7">
        <v>5632</v>
      </c>
      <c r="G82" s="7">
        <v>504990.78</v>
      </c>
      <c r="H82" s="7">
        <v>453237.57</v>
      </c>
      <c r="I82" s="7">
        <v>51753.86</v>
      </c>
      <c r="J82" s="7">
        <v>44059.47</v>
      </c>
      <c r="K82" s="7">
        <v>1388</v>
      </c>
      <c r="L82" s="7">
        <v>579.78</v>
      </c>
      <c r="M82" s="7">
        <v>520.36</v>
      </c>
      <c r="N82" s="7">
        <v>9.7210542365232439E-2</v>
      </c>
      <c r="O82" s="7">
        <v>0.54367410889150014</v>
      </c>
    </row>
    <row r="83" spans="1:15">
      <c r="A83" s="7" t="s">
        <v>2</v>
      </c>
      <c r="B83" s="7" t="s">
        <v>77</v>
      </c>
      <c r="C83" s="7" t="s">
        <v>48</v>
      </c>
      <c r="D83" s="7">
        <v>2708</v>
      </c>
      <c r="E83" s="7">
        <v>915</v>
      </c>
      <c r="F83" s="7">
        <v>5957</v>
      </c>
      <c r="G83" s="7">
        <v>539812.56000000006</v>
      </c>
      <c r="H83" s="7">
        <v>485296.02</v>
      </c>
      <c r="I83" s="7">
        <v>54517.27</v>
      </c>
      <c r="J83" s="7">
        <v>53350.720000000001</v>
      </c>
      <c r="K83" s="7">
        <v>1490</v>
      </c>
      <c r="L83" s="7">
        <v>589.96</v>
      </c>
      <c r="M83" s="7">
        <v>530.38</v>
      </c>
      <c r="N83" s="7">
        <v>0.10993438602690374</v>
      </c>
      <c r="O83" s="7">
        <v>0.55022156573116687</v>
      </c>
    </row>
    <row r="84" spans="1:15">
      <c r="A84" s="7" t="s">
        <v>2</v>
      </c>
      <c r="B84" s="7" t="s">
        <v>77</v>
      </c>
      <c r="C84" s="7" t="s">
        <v>49</v>
      </c>
      <c r="D84" s="7">
        <v>2609</v>
      </c>
      <c r="E84" s="7">
        <v>887</v>
      </c>
      <c r="F84" s="7">
        <v>5710</v>
      </c>
      <c r="G84" s="7">
        <v>514511.21</v>
      </c>
      <c r="H84" s="7">
        <v>463223</v>
      </c>
      <c r="I84" s="7">
        <v>51288.83</v>
      </c>
      <c r="J84" s="7">
        <v>57215.19</v>
      </c>
      <c r="K84" s="7">
        <v>1410</v>
      </c>
      <c r="L84" s="7">
        <v>580.05999999999995</v>
      </c>
      <c r="M84" s="7">
        <v>522.24</v>
      </c>
      <c r="N84" s="7">
        <v>0.12351543425088997</v>
      </c>
      <c r="O84" s="7">
        <v>0.54043694902261408</v>
      </c>
    </row>
    <row r="85" spans="1:15">
      <c r="A85" s="7" t="s">
        <v>2</v>
      </c>
      <c r="B85" s="7" t="s">
        <v>77</v>
      </c>
      <c r="C85" s="7" t="s">
        <v>50</v>
      </c>
      <c r="D85" s="7">
        <v>2805</v>
      </c>
      <c r="E85" s="7">
        <v>942</v>
      </c>
      <c r="F85" s="7">
        <v>6088</v>
      </c>
      <c r="G85" s="7">
        <v>539841.15</v>
      </c>
      <c r="H85" s="7">
        <v>484857.27</v>
      </c>
      <c r="I85" s="7">
        <v>54984.51</v>
      </c>
      <c r="J85" s="7">
        <v>63626.83</v>
      </c>
      <c r="K85" s="7">
        <v>1558</v>
      </c>
      <c r="L85" s="7">
        <v>573.08000000000004</v>
      </c>
      <c r="M85" s="7">
        <v>514.71</v>
      </c>
      <c r="N85" s="7">
        <v>0.13122795910639848</v>
      </c>
      <c r="O85" s="7">
        <v>0.55543672014260248</v>
      </c>
    </row>
    <row r="86" spans="1:15">
      <c r="A86" s="7" t="s">
        <v>2</v>
      </c>
      <c r="B86" s="7" t="s">
        <v>77</v>
      </c>
      <c r="C86" s="7" t="s">
        <v>51</v>
      </c>
      <c r="D86" s="7">
        <v>2645</v>
      </c>
      <c r="E86" s="7">
        <v>887</v>
      </c>
      <c r="F86" s="7">
        <v>5645</v>
      </c>
      <c r="G86" s="7">
        <v>521058.74</v>
      </c>
      <c r="H86" s="7">
        <v>467881.96</v>
      </c>
      <c r="I86" s="7">
        <v>53177.42</v>
      </c>
      <c r="J86" s="7">
        <v>57407.72</v>
      </c>
      <c r="K86" s="7">
        <v>1501</v>
      </c>
      <c r="L86" s="7">
        <v>587.44000000000005</v>
      </c>
      <c r="M86" s="7">
        <v>527.49</v>
      </c>
      <c r="N86" s="7">
        <v>0.12269701528992483</v>
      </c>
      <c r="O86" s="7">
        <v>0.56748582230623823</v>
      </c>
    </row>
    <row r="87" spans="1:15">
      <c r="A87" s="7" t="s">
        <v>2</v>
      </c>
      <c r="B87" s="7" t="s">
        <v>77</v>
      </c>
      <c r="C87" s="7" t="s">
        <v>52</v>
      </c>
      <c r="D87" s="7">
        <v>2778</v>
      </c>
      <c r="E87" s="7">
        <v>917</v>
      </c>
      <c r="F87" s="7">
        <v>6098</v>
      </c>
      <c r="G87" s="7">
        <v>554767.88</v>
      </c>
      <c r="H87" s="7">
        <v>498315.89</v>
      </c>
      <c r="I87" s="7">
        <v>56452.74</v>
      </c>
      <c r="J87" s="7">
        <v>59785.22</v>
      </c>
      <c r="K87" s="7">
        <v>1393</v>
      </c>
      <c r="L87" s="7">
        <v>604.98</v>
      </c>
      <c r="M87" s="7">
        <v>543.41999999999996</v>
      </c>
      <c r="N87" s="7">
        <v>0.11997454064729904</v>
      </c>
      <c r="O87" s="7">
        <v>0.50143988480921531</v>
      </c>
    </row>
    <row r="88" spans="1:15">
      <c r="A88" s="7" t="s">
        <v>2</v>
      </c>
      <c r="B88" s="7" t="s">
        <v>77</v>
      </c>
      <c r="C88" s="7" t="s">
        <v>53</v>
      </c>
      <c r="D88" s="7">
        <v>2833</v>
      </c>
      <c r="E88" s="7">
        <v>946</v>
      </c>
      <c r="F88" s="7">
        <v>6209</v>
      </c>
      <c r="G88" s="7">
        <v>562308.34</v>
      </c>
      <c r="H88" s="7">
        <v>505628</v>
      </c>
      <c r="I88" s="7">
        <v>56681.03</v>
      </c>
      <c r="J88" s="7">
        <v>63043.94</v>
      </c>
      <c r="K88" s="7">
        <v>1563</v>
      </c>
      <c r="L88" s="7">
        <v>594.41</v>
      </c>
      <c r="M88" s="7">
        <v>534.49</v>
      </c>
      <c r="N88" s="7">
        <v>0.12468443203303615</v>
      </c>
      <c r="O88" s="7">
        <v>0.55171196611366047</v>
      </c>
    </row>
    <row r="89" spans="1:15">
      <c r="A89" s="7" t="s">
        <v>2</v>
      </c>
      <c r="B89" s="7" t="s">
        <v>77</v>
      </c>
      <c r="C89" s="7" t="s">
        <v>54</v>
      </c>
      <c r="D89" s="7">
        <v>2721</v>
      </c>
      <c r="E89" s="7">
        <v>902</v>
      </c>
      <c r="F89" s="7">
        <v>5984</v>
      </c>
      <c r="G89" s="7">
        <v>534414.28</v>
      </c>
      <c r="H89" s="7">
        <v>479571.71</v>
      </c>
      <c r="I89" s="7">
        <v>54843.18</v>
      </c>
      <c r="J89" s="7">
        <v>67305.98</v>
      </c>
      <c r="K89" s="7">
        <v>1505</v>
      </c>
      <c r="L89" s="7">
        <v>592.48</v>
      </c>
      <c r="M89" s="7">
        <v>531.67999999999995</v>
      </c>
      <c r="N89" s="7">
        <v>0.14034601832539287</v>
      </c>
      <c r="O89" s="7">
        <v>0.55310547592796766</v>
      </c>
    </row>
    <row r="90" spans="1:15">
      <c r="A90" s="7" t="s">
        <v>2</v>
      </c>
      <c r="B90" s="7" t="s">
        <v>77</v>
      </c>
      <c r="C90" s="7" t="s">
        <v>55</v>
      </c>
      <c r="D90" s="7">
        <v>2901</v>
      </c>
      <c r="E90" s="7">
        <v>950</v>
      </c>
      <c r="F90" s="7">
        <v>6341</v>
      </c>
      <c r="G90" s="7">
        <v>564420.28</v>
      </c>
      <c r="H90" s="7">
        <v>507832.72</v>
      </c>
      <c r="I90" s="7">
        <v>56588.18</v>
      </c>
      <c r="J90" s="7">
        <v>63778.27</v>
      </c>
      <c r="K90" s="7">
        <v>1534</v>
      </c>
      <c r="L90" s="7">
        <v>594.13</v>
      </c>
      <c r="M90" s="7">
        <v>534.55999999999995</v>
      </c>
      <c r="N90" s="7">
        <v>0.12558913100361077</v>
      </c>
      <c r="O90" s="7">
        <v>0.52878317821440879</v>
      </c>
    </row>
    <row r="91" spans="1:15">
      <c r="A91" s="7" t="s">
        <v>2</v>
      </c>
      <c r="B91" s="7" t="s">
        <v>77</v>
      </c>
      <c r="C91" s="7" t="s">
        <v>56</v>
      </c>
      <c r="D91" s="7">
        <v>2721</v>
      </c>
      <c r="E91" s="7">
        <v>903</v>
      </c>
      <c r="F91" s="7">
        <v>5974</v>
      </c>
      <c r="G91" s="7">
        <v>548519.93999999994</v>
      </c>
      <c r="H91" s="7">
        <v>493262.23</v>
      </c>
      <c r="I91" s="7">
        <v>55258.28</v>
      </c>
      <c r="J91" s="7">
        <v>61985.58</v>
      </c>
      <c r="K91" s="7">
        <v>1463</v>
      </c>
      <c r="L91" s="7">
        <v>607.44000000000005</v>
      </c>
      <c r="M91" s="7">
        <v>546.25</v>
      </c>
      <c r="N91" s="7">
        <v>0.12566455777487767</v>
      </c>
      <c r="O91" s="7">
        <v>0.53766997427416396</v>
      </c>
    </row>
    <row r="92" spans="1:15">
      <c r="A92" s="7" t="s">
        <v>2</v>
      </c>
      <c r="B92" s="7" t="s">
        <v>77</v>
      </c>
      <c r="C92" s="7" t="s">
        <v>57</v>
      </c>
      <c r="D92" s="7">
        <v>2749</v>
      </c>
      <c r="E92" s="7">
        <v>926</v>
      </c>
      <c r="F92" s="7">
        <v>6167</v>
      </c>
      <c r="G92" s="7">
        <v>541428.78</v>
      </c>
      <c r="H92" s="7">
        <v>486951.12</v>
      </c>
      <c r="I92" s="7">
        <v>54478.36</v>
      </c>
      <c r="J92" s="7">
        <v>52273.5</v>
      </c>
      <c r="K92" s="7">
        <v>1532</v>
      </c>
      <c r="L92" s="7">
        <v>584.70000000000005</v>
      </c>
      <c r="M92" s="7">
        <v>525.87</v>
      </c>
      <c r="N92" s="7">
        <v>0.10734855687363447</v>
      </c>
      <c r="O92" s="7">
        <v>0.55729356129501639</v>
      </c>
    </row>
    <row r="93" spans="1:15">
      <c r="A93" s="7" t="s">
        <v>2</v>
      </c>
      <c r="B93" s="7" t="s">
        <v>77</v>
      </c>
      <c r="C93" s="7" t="s">
        <v>58</v>
      </c>
      <c r="D93" s="7">
        <v>2782</v>
      </c>
      <c r="E93" s="7">
        <v>926</v>
      </c>
      <c r="F93" s="7">
        <v>6233</v>
      </c>
      <c r="G93" s="7">
        <v>552258.89</v>
      </c>
      <c r="H93" s="7">
        <v>496494.92</v>
      </c>
      <c r="I93" s="7">
        <v>55764.639999999999</v>
      </c>
      <c r="J93" s="7">
        <v>52468.68</v>
      </c>
      <c r="K93" s="7">
        <v>1490</v>
      </c>
      <c r="L93" s="7">
        <v>596.39</v>
      </c>
      <c r="M93" s="7">
        <v>536.16999999999996</v>
      </c>
      <c r="N93" s="7">
        <v>0.10567818095701766</v>
      </c>
      <c r="O93" s="7">
        <v>0.53558590941768514</v>
      </c>
    </row>
    <row r="94" spans="1:15">
      <c r="A94" s="7" t="s">
        <v>2</v>
      </c>
      <c r="B94" s="7" t="s">
        <v>77</v>
      </c>
      <c r="C94" s="7" t="s">
        <v>59</v>
      </c>
      <c r="D94" s="7">
        <v>2455</v>
      </c>
      <c r="E94" s="7">
        <v>825</v>
      </c>
      <c r="F94" s="7">
        <v>5522</v>
      </c>
      <c r="G94" s="7">
        <v>491386.43</v>
      </c>
      <c r="H94" s="7">
        <v>442311.89</v>
      </c>
      <c r="I94" s="7">
        <v>49075.18</v>
      </c>
      <c r="J94" s="7">
        <v>55119.85</v>
      </c>
      <c r="K94" s="7">
        <v>1311</v>
      </c>
      <c r="L94" s="7">
        <v>595.62</v>
      </c>
      <c r="M94" s="7">
        <v>536.14</v>
      </c>
      <c r="N94" s="7">
        <v>0.12461760862906036</v>
      </c>
      <c r="O94" s="7">
        <v>0.53401221995926684</v>
      </c>
    </row>
    <row r="95" spans="1:15">
      <c r="A95" s="7" t="s">
        <v>2</v>
      </c>
      <c r="B95" s="7" t="s">
        <v>77</v>
      </c>
      <c r="C95" s="7" t="s">
        <v>60</v>
      </c>
      <c r="D95" s="7">
        <v>2604</v>
      </c>
      <c r="E95" s="7">
        <v>871</v>
      </c>
      <c r="F95" s="7">
        <v>5678</v>
      </c>
      <c r="G95" s="7">
        <v>508047.42</v>
      </c>
      <c r="H95" s="7">
        <v>455757.88</v>
      </c>
      <c r="I95" s="7">
        <v>52290.25</v>
      </c>
      <c r="J95" s="7">
        <v>54047.58</v>
      </c>
      <c r="K95" s="7">
        <v>1475</v>
      </c>
      <c r="L95" s="7">
        <v>583.29</v>
      </c>
      <c r="M95" s="7">
        <v>523.26</v>
      </c>
      <c r="N95" s="7">
        <v>0.11858836099553562</v>
      </c>
      <c r="O95" s="7">
        <v>0.56643625192012292</v>
      </c>
    </row>
    <row r="96" spans="1:15">
      <c r="A96" s="7" t="s">
        <v>2</v>
      </c>
      <c r="B96" s="7" t="s">
        <v>77</v>
      </c>
      <c r="C96" s="7" t="s">
        <v>61</v>
      </c>
      <c r="D96" s="7">
        <v>2795</v>
      </c>
      <c r="E96" s="7">
        <v>923</v>
      </c>
      <c r="F96" s="7">
        <v>5979</v>
      </c>
      <c r="G96" s="7">
        <v>553031.43999999994</v>
      </c>
      <c r="H96" s="7">
        <v>496275.86</v>
      </c>
      <c r="I96" s="7">
        <v>56756.3</v>
      </c>
      <c r="J96" s="7">
        <v>64501.54</v>
      </c>
      <c r="K96" s="7">
        <v>1470</v>
      </c>
      <c r="L96" s="7">
        <v>599.16999999999996</v>
      </c>
      <c r="M96" s="7">
        <v>537.67999999999995</v>
      </c>
      <c r="N96" s="7">
        <v>0.12997114145346503</v>
      </c>
      <c r="O96" s="7">
        <v>0.5259391771019678</v>
      </c>
    </row>
    <row r="97" spans="1:15">
      <c r="A97" s="7" t="s">
        <v>2</v>
      </c>
      <c r="B97" s="7" t="s">
        <v>77</v>
      </c>
      <c r="C97" s="7" t="s">
        <v>62</v>
      </c>
      <c r="D97" s="7">
        <v>2687</v>
      </c>
      <c r="E97" s="7">
        <v>895</v>
      </c>
      <c r="F97" s="7">
        <v>5635</v>
      </c>
      <c r="G97" s="7">
        <v>555613.62</v>
      </c>
      <c r="H97" s="7">
        <v>498873.03</v>
      </c>
      <c r="I97" s="7">
        <v>56741.21</v>
      </c>
      <c r="J97" s="7">
        <v>54896.79</v>
      </c>
      <c r="K97" s="7">
        <v>1459</v>
      </c>
      <c r="L97" s="7">
        <v>620.79999999999995</v>
      </c>
      <c r="M97" s="7">
        <v>557.4</v>
      </c>
      <c r="N97" s="7">
        <v>0.11004160718008749</v>
      </c>
      <c r="O97" s="7">
        <v>0.54298474134722741</v>
      </c>
    </row>
    <row r="98" spans="1:15">
      <c r="A98" s="7" t="s">
        <v>2</v>
      </c>
      <c r="B98" s="7" t="s">
        <v>77</v>
      </c>
      <c r="C98" s="7" t="s">
        <v>63</v>
      </c>
      <c r="D98" s="7">
        <v>2466</v>
      </c>
      <c r="E98" s="7">
        <v>841</v>
      </c>
      <c r="F98" s="7">
        <v>4958</v>
      </c>
      <c r="G98" s="7">
        <v>507861.77</v>
      </c>
      <c r="H98" s="7">
        <v>457114.35</v>
      </c>
      <c r="I98" s="7">
        <v>50747.93</v>
      </c>
      <c r="J98" s="7">
        <v>56706.22</v>
      </c>
      <c r="K98" s="7">
        <v>1308</v>
      </c>
      <c r="L98" s="7">
        <v>603.88</v>
      </c>
      <c r="M98" s="7">
        <v>543.54</v>
      </c>
      <c r="N98" s="7">
        <v>0.12405259209210999</v>
      </c>
      <c r="O98" s="7">
        <v>0.53041362530413627</v>
      </c>
    </row>
    <row r="99" spans="1:15">
      <c r="A99" s="7" t="s">
        <v>2</v>
      </c>
      <c r="B99" s="7" t="s">
        <v>77</v>
      </c>
      <c r="C99" s="7" t="s">
        <v>64</v>
      </c>
      <c r="D99" s="7">
        <v>2817</v>
      </c>
      <c r="E99" s="7">
        <v>938</v>
      </c>
      <c r="F99" s="7">
        <v>5923</v>
      </c>
      <c r="G99" s="7">
        <v>589456.71</v>
      </c>
      <c r="H99" s="7">
        <v>528720.74</v>
      </c>
      <c r="I99" s="7">
        <v>60736.59</v>
      </c>
      <c r="J99" s="7">
        <v>61960.73</v>
      </c>
      <c r="K99" s="7">
        <v>1582</v>
      </c>
      <c r="L99" s="7">
        <v>628.41999999999996</v>
      </c>
      <c r="M99" s="7">
        <v>563.66999999999996</v>
      </c>
      <c r="N99" s="7">
        <v>0.11718989877340541</v>
      </c>
      <c r="O99" s="7">
        <v>0.56159034433794819</v>
      </c>
    </row>
    <row r="100" spans="1:15">
      <c r="A100" s="7" t="s">
        <v>2</v>
      </c>
      <c r="B100" s="7" t="s">
        <v>77</v>
      </c>
      <c r="C100" s="7" t="s">
        <v>65</v>
      </c>
      <c r="D100" s="7">
        <v>2849</v>
      </c>
      <c r="E100" s="7">
        <v>939</v>
      </c>
      <c r="F100" s="7">
        <v>5884</v>
      </c>
      <c r="G100" s="7">
        <v>592000.24</v>
      </c>
      <c r="H100" s="7">
        <v>532142.34</v>
      </c>
      <c r="I100" s="7">
        <v>59858.59</v>
      </c>
      <c r="J100" s="7">
        <v>71638.58</v>
      </c>
      <c r="K100" s="7">
        <v>1619</v>
      </c>
      <c r="L100" s="7">
        <v>630.46</v>
      </c>
      <c r="M100" s="7">
        <v>566.71</v>
      </c>
      <c r="N100" s="7">
        <v>0.13462296572755328</v>
      </c>
      <c r="O100" s="7">
        <v>0.56826956826956831</v>
      </c>
    </row>
    <row r="101" spans="1:15">
      <c r="A101" s="7" t="s">
        <v>2</v>
      </c>
      <c r="B101" s="7" t="s">
        <v>77</v>
      </c>
      <c r="C101" s="7" t="s">
        <v>66</v>
      </c>
      <c r="D101" s="7">
        <v>2651</v>
      </c>
      <c r="E101" s="7">
        <v>881</v>
      </c>
      <c r="F101" s="7">
        <v>5478</v>
      </c>
      <c r="G101" s="7">
        <v>588507.69999999995</v>
      </c>
      <c r="H101" s="7">
        <v>529596.54</v>
      </c>
      <c r="I101" s="7">
        <v>58911.7</v>
      </c>
      <c r="J101" s="7">
        <v>61074.84</v>
      </c>
      <c r="K101" s="7">
        <v>1412</v>
      </c>
      <c r="L101" s="7">
        <v>668</v>
      </c>
      <c r="M101" s="7">
        <v>601.13</v>
      </c>
      <c r="N101" s="7">
        <v>0.11532333651575592</v>
      </c>
      <c r="O101" s="7">
        <v>0.53262919652961149</v>
      </c>
    </row>
    <row r="102" spans="1:15">
      <c r="A102" s="7" t="s">
        <v>2</v>
      </c>
      <c r="B102" s="7" t="s">
        <v>77</v>
      </c>
      <c r="C102" s="7" t="s">
        <v>67</v>
      </c>
      <c r="D102" s="7">
        <v>1153</v>
      </c>
      <c r="E102" s="7">
        <v>1075</v>
      </c>
      <c r="F102" s="7">
        <v>1269</v>
      </c>
      <c r="G102" s="7">
        <v>562802.93000000005</v>
      </c>
      <c r="H102" s="7">
        <v>507711.61</v>
      </c>
      <c r="I102" s="7">
        <v>55091.839999999997</v>
      </c>
      <c r="J102" s="7">
        <v>67161.679999999993</v>
      </c>
      <c r="K102" s="7">
        <v>640</v>
      </c>
      <c r="L102" s="7">
        <v>523.54</v>
      </c>
      <c r="M102" s="7">
        <v>472.29</v>
      </c>
      <c r="N102" s="7">
        <v>0.13228312821130878</v>
      </c>
      <c r="O102" s="7">
        <v>0.55507372072853423</v>
      </c>
    </row>
    <row r="103" spans="1:15">
      <c r="A103" s="7" t="s">
        <v>2</v>
      </c>
      <c r="B103" s="7" t="s">
        <v>77</v>
      </c>
      <c r="C103" s="7" t="s">
        <v>68</v>
      </c>
      <c r="D103" s="7">
        <v>1043</v>
      </c>
      <c r="E103" s="7">
        <v>1043</v>
      </c>
      <c r="F103" s="7">
        <v>1043</v>
      </c>
      <c r="G103" s="7">
        <v>324809.28999999998</v>
      </c>
      <c r="H103" s="7">
        <v>292502.34000000003</v>
      </c>
      <c r="I103" s="7">
        <v>32307.26</v>
      </c>
      <c r="J103" s="7">
        <v>35466.75</v>
      </c>
      <c r="K103" s="7">
        <v>575</v>
      </c>
      <c r="L103" s="7">
        <v>311.42</v>
      </c>
      <c r="M103" s="7">
        <v>280.44</v>
      </c>
      <c r="N103" s="7">
        <v>0.1212528761308371</v>
      </c>
      <c r="O103" s="7">
        <v>0.55129434324065196</v>
      </c>
    </row>
    <row r="104" spans="1:15">
      <c r="A104" s="7" t="s">
        <v>2</v>
      </c>
      <c r="B104" s="7" t="s">
        <v>77</v>
      </c>
      <c r="C104" s="7" t="s">
        <v>69</v>
      </c>
      <c r="D104" s="7">
        <v>1143</v>
      </c>
      <c r="E104" s="7">
        <v>1143</v>
      </c>
      <c r="F104" s="7">
        <v>1143</v>
      </c>
      <c r="G104" s="7">
        <v>278849.77</v>
      </c>
      <c r="H104" s="7">
        <v>251145.38</v>
      </c>
      <c r="I104" s="7">
        <v>27705.01</v>
      </c>
      <c r="J104" s="7">
        <v>43002.48</v>
      </c>
      <c r="K104" s="7">
        <v>610</v>
      </c>
      <c r="L104" s="7">
        <v>243.96</v>
      </c>
      <c r="M104" s="7">
        <v>219.72</v>
      </c>
      <c r="N104" s="7">
        <v>0.17122544718919377</v>
      </c>
      <c r="O104" s="7">
        <v>0.5336832895888014</v>
      </c>
    </row>
    <row r="105" spans="1:15">
      <c r="A105" s="7" t="s">
        <v>2</v>
      </c>
      <c r="B105" s="7" t="s">
        <v>77</v>
      </c>
      <c r="C105" s="7" t="s">
        <v>70</v>
      </c>
      <c r="D105" s="7">
        <v>1069</v>
      </c>
      <c r="E105" s="7">
        <v>1069</v>
      </c>
      <c r="F105" s="7">
        <v>1069</v>
      </c>
      <c r="G105" s="7">
        <v>162830.24</v>
      </c>
      <c r="H105" s="7">
        <v>146373.35999999999</v>
      </c>
      <c r="I105" s="7">
        <v>16457.91</v>
      </c>
      <c r="J105" s="7">
        <v>11961.25</v>
      </c>
      <c r="K105" s="7">
        <v>573</v>
      </c>
      <c r="L105" s="7">
        <v>152.32</v>
      </c>
      <c r="M105" s="7">
        <v>136.93</v>
      </c>
      <c r="N105" s="7">
        <v>8.1717397209437576E-2</v>
      </c>
      <c r="O105" s="7">
        <v>0.53601496725912068</v>
      </c>
    </row>
    <row r="106" spans="1:15">
      <c r="A106" s="7" t="s">
        <v>2</v>
      </c>
      <c r="B106" s="7" t="s">
        <v>78</v>
      </c>
      <c r="C106" s="7" t="s">
        <v>30</v>
      </c>
      <c r="D106" s="7">
        <v>1613</v>
      </c>
      <c r="E106" s="7">
        <v>528</v>
      </c>
      <c r="F106" s="7">
        <v>3673</v>
      </c>
      <c r="G106" s="7">
        <v>317973.65999999997</v>
      </c>
      <c r="H106" s="7">
        <v>286082.84999999998</v>
      </c>
      <c r="I106" s="7">
        <v>31891.23</v>
      </c>
      <c r="J106" s="7">
        <v>28959.29</v>
      </c>
      <c r="K106" s="7">
        <v>830</v>
      </c>
      <c r="L106" s="7">
        <v>602.22</v>
      </c>
      <c r="M106" s="7">
        <v>541.82000000000005</v>
      </c>
      <c r="N106" s="7">
        <v>0.10122693478480099</v>
      </c>
      <c r="O106" s="7">
        <v>0.51456912585244885</v>
      </c>
    </row>
    <row r="107" spans="1:15">
      <c r="A107" s="7" t="s">
        <v>2</v>
      </c>
      <c r="B107" s="7" t="s">
        <v>78</v>
      </c>
      <c r="C107" s="7" t="s">
        <v>33</v>
      </c>
      <c r="D107" s="7">
        <v>1403</v>
      </c>
      <c r="E107" s="7">
        <v>475</v>
      </c>
      <c r="F107" s="7">
        <v>3165</v>
      </c>
      <c r="G107" s="7">
        <v>274771.08</v>
      </c>
      <c r="H107" s="7">
        <v>246212.44</v>
      </c>
      <c r="I107" s="7">
        <v>28559.01</v>
      </c>
      <c r="J107" s="7">
        <v>32128.639999999999</v>
      </c>
      <c r="K107" s="7">
        <v>766</v>
      </c>
      <c r="L107" s="7">
        <v>578.47</v>
      </c>
      <c r="M107" s="7">
        <v>518.34</v>
      </c>
      <c r="N107" s="7">
        <v>0.13049153812049463</v>
      </c>
      <c r="O107" s="7">
        <v>0.54597291518175339</v>
      </c>
    </row>
    <row r="108" spans="1:15">
      <c r="A108" s="7" t="s">
        <v>2</v>
      </c>
      <c r="B108" s="7" t="s">
        <v>78</v>
      </c>
      <c r="C108" s="7" t="s">
        <v>35</v>
      </c>
      <c r="D108" s="7">
        <v>1628</v>
      </c>
      <c r="E108" s="7">
        <v>524</v>
      </c>
      <c r="F108" s="7">
        <v>3598</v>
      </c>
      <c r="G108" s="7">
        <v>321220.89</v>
      </c>
      <c r="H108" s="7">
        <v>287395.76</v>
      </c>
      <c r="I108" s="7">
        <v>33825.519999999997</v>
      </c>
      <c r="J108" s="7">
        <v>39504.57</v>
      </c>
      <c r="K108" s="7">
        <v>884</v>
      </c>
      <c r="L108" s="7">
        <v>613.02</v>
      </c>
      <c r="M108" s="7">
        <v>548.47</v>
      </c>
      <c r="N108" s="7">
        <v>0.13745703833626494</v>
      </c>
      <c r="O108" s="7">
        <v>0.54299754299754299</v>
      </c>
    </row>
    <row r="109" spans="1:15">
      <c r="A109" s="7" t="s">
        <v>2</v>
      </c>
      <c r="B109" s="7" t="s">
        <v>78</v>
      </c>
      <c r="C109" s="7" t="s">
        <v>36</v>
      </c>
      <c r="D109" s="7">
        <v>1487</v>
      </c>
      <c r="E109" s="7">
        <v>500</v>
      </c>
      <c r="F109" s="7">
        <v>3289</v>
      </c>
      <c r="G109" s="7">
        <v>292889.83</v>
      </c>
      <c r="H109" s="7">
        <v>262923.83</v>
      </c>
      <c r="I109" s="7">
        <v>29966.34</v>
      </c>
      <c r="J109" s="7">
        <v>29448.55</v>
      </c>
      <c r="K109" s="7">
        <v>816</v>
      </c>
      <c r="L109" s="7">
        <v>585.78</v>
      </c>
      <c r="M109" s="7">
        <v>525.85</v>
      </c>
      <c r="N109" s="7">
        <v>0.11200411160905421</v>
      </c>
      <c r="O109" s="7">
        <v>0.54875588433086753</v>
      </c>
    </row>
    <row r="110" spans="1:15">
      <c r="A110" s="7" t="s">
        <v>2</v>
      </c>
      <c r="B110" s="7" t="s">
        <v>78</v>
      </c>
      <c r="C110" s="7" t="s">
        <v>37</v>
      </c>
      <c r="D110" s="7">
        <v>1682</v>
      </c>
      <c r="E110" s="7">
        <v>550</v>
      </c>
      <c r="F110" s="7">
        <v>3689</v>
      </c>
      <c r="G110" s="7">
        <v>333329.03999999998</v>
      </c>
      <c r="H110" s="7">
        <v>298802.67</v>
      </c>
      <c r="I110" s="7">
        <v>34526.83</v>
      </c>
      <c r="J110" s="7">
        <v>34737.14</v>
      </c>
      <c r="K110" s="7">
        <v>982</v>
      </c>
      <c r="L110" s="7">
        <v>606.04999999999995</v>
      </c>
      <c r="M110" s="7">
        <v>543.28</v>
      </c>
      <c r="N110" s="7">
        <v>0.11625444980126852</v>
      </c>
      <c r="O110" s="7">
        <v>0.58382877526753862</v>
      </c>
    </row>
    <row r="111" spans="1:15">
      <c r="A111" s="7" t="s">
        <v>2</v>
      </c>
      <c r="B111" s="7" t="s">
        <v>78</v>
      </c>
      <c r="C111" s="7" t="s">
        <v>39</v>
      </c>
      <c r="D111" s="7">
        <v>1559</v>
      </c>
      <c r="E111" s="7">
        <v>522</v>
      </c>
      <c r="F111" s="7">
        <v>3352</v>
      </c>
      <c r="G111" s="7">
        <v>313304.13</v>
      </c>
      <c r="H111" s="7">
        <v>281780.59000000003</v>
      </c>
      <c r="I111" s="7">
        <v>31523.87</v>
      </c>
      <c r="J111" s="7">
        <v>32140.53</v>
      </c>
      <c r="K111" s="7">
        <v>769</v>
      </c>
      <c r="L111" s="7">
        <v>600.20000000000005</v>
      </c>
      <c r="M111" s="7">
        <v>539.80999999999995</v>
      </c>
      <c r="N111" s="7">
        <v>0.11406225673670424</v>
      </c>
      <c r="O111" s="7">
        <v>0.49326491340602951</v>
      </c>
    </row>
    <row r="112" spans="1:15">
      <c r="A112" s="7" t="s">
        <v>2</v>
      </c>
      <c r="B112" s="7" t="s">
        <v>78</v>
      </c>
      <c r="C112" s="7" t="s">
        <v>40</v>
      </c>
      <c r="D112" s="7">
        <v>1668</v>
      </c>
      <c r="E112" s="7">
        <v>551</v>
      </c>
      <c r="F112" s="7">
        <v>3725</v>
      </c>
      <c r="G112" s="7">
        <v>330451.75</v>
      </c>
      <c r="H112" s="7">
        <v>297649.56</v>
      </c>
      <c r="I112" s="7">
        <v>32802.550000000003</v>
      </c>
      <c r="J112" s="7">
        <v>38642.239999999998</v>
      </c>
      <c r="K112" s="7">
        <v>950</v>
      </c>
      <c r="L112" s="7">
        <v>599.73</v>
      </c>
      <c r="M112" s="7">
        <v>540.20000000000005</v>
      </c>
      <c r="N112" s="7">
        <v>0.12982461657258959</v>
      </c>
      <c r="O112" s="7">
        <v>0.5695443645083933</v>
      </c>
    </row>
    <row r="113" spans="1:15">
      <c r="A113" s="7" t="s">
        <v>2</v>
      </c>
      <c r="B113" s="7" t="s">
        <v>78</v>
      </c>
      <c r="C113" s="7" t="s">
        <v>41</v>
      </c>
      <c r="D113" s="7">
        <v>1651</v>
      </c>
      <c r="E113" s="7">
        <v>551</v>
      </c>
      <c r="F113" s="7">
        <v>3583</v>
      </c>
      <c r="G113" s="7">
        <v>322081.07</v>
      </c>
      <c r="H113" s="7">
        <v>289370.15000000002</v>
      </c>
      <c r="I113" s="7">
        <v>32711.33</v>
      </c>
      <c r="J113" s="7">
        <v>44385.42</v>
      </c>
      <c r="K113" s="7">
        <v>949</v>
      </c>
      <c r="L113" s="7">
        <v>584.54</v>
      </c>
      <c r="M113" s="7">
        <v>525.16999999999996</v>
      </c>
      <c r="N113" s="7">
        <v>0.15338631161507155</v>
      </c>
      <c r="O113" s="7">
        <v>0.57480314960629919</v>
      </c>
    </row>
    <row r="114" spans="1:15">
      <c r="A114" s="7" t="s">
        <v>2</v>
      </c>
      <c r="B114" s="7" t="s">
        <v>78</v>
      </c>
      <c r="C114" s="7" t="s">
        <v>42</v>
      </c>
      <c r="D114" s="7">
        <v>1541</v>
      </c>
      <c r="E114" s="7">
        <v>506</v>
      </c>
      <c r="F114" s="7">
        <v>3402</v>
      </c>
      <c r="G114" s="7">
        <v>306729.01</v>
      </c>
      <c r="H114" s="7">
        <v>276123.44</v>
      </c>
      <c r="I114" s="7">
        <v>30605.88</v>
      </c>
      <c r="J114" s="7">
        <v>26945.32</v>
      </c>
      <c r="K114" s="7">
        <v>832</v>
      </c>
      <c r="L114" s="7">
        <v>606.17999999999995</v>
      </c>
      <c r="M114" s="7">
        <v>545.70000000000005</v>
      </c>
      <c r="N114" s="7">
        <v>9.7584326777907737E-2</v>
      </c>
      <c r="O114" s="7">
        <v>0.53990914990266059</v>
      </c>
    </row>
    <row r="115" spans="1:15">
      <c r="A115" s="7" t="s">
        <v>2</v>
      </c>
      <c r="B115" s="7" t="s">
        <v>78</v>
      </c>
      <c r="C115" s="7" t="s">
        <v>43</v>
      </c>
      <c r="D115" s="7">
        <v>1651</v>
      </c>
      <c r="E115" s="7">
        <v>550</v>
      </c>
      <c r="F115" s="7">
        <v>3640</v>
      </c>
      <c r="G115" s="7">
        <v>326310.71999999997</v>
      </c>
      <c r="H115" s="7">
        <v>293589.86</v>
      </c>
      <c r="I115" s="7">
        <v>32721.25</v>
      </c>
      <c r="J115" s="7">
        <v>33052.639999999999</v>
      </c>
      <c r="K115" s="7">
        <v>853</v>
      </c>
      <c r="L115" s="7">
        <v>593.29</v>
      </c>
      <c r="M115" s="7">
        <v>533.79999999999995</v>
      </c>
      <c r="N115" s="7">
        <v>0.11258099990238082</v>
      </c>
      <c r="O115" s="7">
        <v>0.51665657177468205</v>
      </c>
    </row>
    <row r="116" spans="1:15">
      <c r="A116" s="7" t="s">
        <v>2</v>
      </c>
      <c r="B116" s="7" t="s">
        <v>78</v>
      </c>
      <c r="C116" s="7" t="s">
        <v>44</v>
      </c>
      <c r="D116" s="7">
        <v>1582</v>
      </c>
      <c r="E116" s="7">
        <v>518</v>
      </c>
      <c r="F116" s="7">
        <v>3443</v>
      </c>
      <c r="G116" s="7">
        <v>303815.09000000003</v>
      </c>
      <c r="H116" s="7">
        <v>273160.58</v>
      </c>
      <c r="I116" s="7">
        <v>30654.86</v>
      </c>
      <c r="J116" s="7">
        <v>23562.54</v>
      </c>
      <c r="K116" s="7">
        <v>843</v>
      </c>
      <c r="L116" s="7">
        <v>586.52</v>
      </c>
      <c r="M116" s="7">
        <v>527.34</v>
      </c>
      <c r="N116" s="7">
        <v>8.625893238328898E-2</v>
      </c>
      <c r="O116" s="7">
        <v>0.53286978508217442</v>
      </c>
    </row>
    <row r="117" spans="1:15">
      <c r="A117" s="7" t="s">
        <v>2</v>
      </c>
      <c r="B117" s="7" t="s">
        <v>78</v>
      </c>
      <c r="C117" s="7" t="s">
        <v>45</v>
      </c>
      <c r="D117" s="7">
        <v>1700</v>
      </c>
      <c r="E117" s="7">
        <v>568</v>
      </c>
      <c r="F117" s="7">
        <v>3758</v>
      </c>
      <c r="G117" s="7">
        <v>336029.03</v>
      </c>
      <c r="H117" s="7">
        <v>300944.94</v>
      </c>
      <c r="I117" s="7">
        <v>35084.550000000003</v>
      </c>
      <c r="J117" s="7">
        <v>33959.040000000001</v>
      </c>
      <c r="K117" s="7">
        <v>938</v>
      </c>
      <c r="L117" s="7">
        <v>591.6</v>
      </c>
      <c r="M117" s="7">
        <v>529.83000000000004</v>
      </c>
      <c r="N117" s="7">
        <v>0.1128413722457005</v>
      </c>
      <c r="O117" s="7">
        <v>0.55176470588235293</v>
      </c>
    </row>
    <row r="118" spans="1:15">
      <c r="A118" s="7" t="s">
        <v>2</v>
      </c>
      <c r="B118" s="7" t="s">
        <v>78</v>
      </c>
      <c r="C118" s="7" t="s">
        <v>46</v>
      </c>
      <c r="D118" s="7">
        <v>1681</v>
      </c>
      <c r="E118" s="7">
        <v>556</v>
      </c>
      <c r="F118" s="7">
        <v>3559</v>
      </c>
      <c r="G118" s="7">
        <v>330304.83</v>
      </c>
      <c r="H118" s="7">
        <v>297414.46999999997</v>
      </c>
      <c r="I118" s="7">
        <v>32890.660000000003</v>
      </c>
      <c r="J118" s="7">
        <v>36241.360000000001</v>
      </c>
      <c r="K118" s="7">
        <v>973</v>
      </c>
      <c r="L118" s="7">
        <v>594.07000000000005</v>
      </c>
      <c r="M118" s="7">
        <v>534.91999999999996</v>
      </c>
      <c r="N118" s="7">
        <v>0.12185473020192998</v>
      </c>
      <c r="O118" s="7">
        <v>0.57882212968471147</v>
      </c>
    </row>
    <row r="119" spans="1:15">
      <c r="A119" s="7" t="s">
        <v>2</v>
      </c>
      <c r="B119" s="7" t="s">
        <v>78</v>
      </c>
      <c r="C119" s="7" t="s">
        <v>47</v>
      </c>
      <c r="D119" s="7">
        <v>1439</v>
      </c>
      <c r="E119" s="7">
        <v>488</v>
      </c>
      <c r="F119" s="7">
        <v>3127</v>
      </c>
      <c r="G119" s="7">
        <v>283960.26</v>
      </c>
      <c r="H119" s="7">
        <v>255060.87</v>
      </c>
      <c r="I119" s="7">
        <v>28899.71</v>
      </c>
      <c r="J119" s="7">
        <v>29754.17</v>
      </c>
      <c r="K119" s="7">
        <v>783</v>
      </c>
      <c r="L119" s="7">
        <v>581.89</v>
      </c>
      <c r="M119" s="7">
        <v>522.66999999999996</v>
      </c>
      <c r="N119" s="7">
        <v>0.11665517333176195</v>
      </c>
      <c r="O119" s="7">
        <v>0.54412786657400969</v>
      </c>
    </row>
    <row r="120" spans="1:15">
      <c r="A120" s="7" t="s">
        <v>2</v>
      </c>
      <c r="B120" s="7" t="s">
        <v>78</v>
      </c>
      <c r="C120" s="7" t="s">
        <v>48</v>
      </c>
      <c r="D120" s="7">
        <v>1527</v>
      </c>
      <c r="E120" s="7">
        <v>519</v>
      </c>
      <c r="F120" s="7">
        <v>3289</v>
      </c>
      <c r="G120" s="7">
        <v>297087.81</v>
      </c>
      <c r="H120" s="7">
        <v>266567.05</v>
      </c>
      <c r="I120" s="7">
        <v>30521.13</v>
      </c>
      <c r="J120" s="7">
        <v>31573.18</v>
      </c>
      <c r="K120" s="7">
        <v>851</v>
      </c>
      <c r="L120" s="7">
        <v>572.41999999999996</v>
      </c>
      <c r="M120" s="7">
        <v>513.62</v>
      </c>
      <c r="N120" s="7">
        <v>0.11844367111389049</v>
      </c>
      <c r="O120" s="7">
        <v>0.55730189914865746</v>
      </c>
    </row>
    <row r="121" spans="1:15">
      <c r="A121" s="7" t="s">
        <v>2</v>
      </c>
      <c r="B121" s="7" t="s">
        <v>78</v>
      </c>
      <c r="C121" s="7" t="s">
        <v>49</v>
      </c>
      <c r="D121" s="7">
        <v>1679</v>
      </c>
      <c r="E121" s="7">
        <v>552</v>
      </c>
      <c r="F121" s="7">
        <v>3712</v>
      </c>
      <c r="G121" s="7">
        <v>329312.98</v>
      </c>
      <c r="H121" s="7">
        <v>295246.87</v>
      </c>
      <c r="I121" s="7">
        <v>34066.53</v>
      </c>
      <c r="J121" s="7">
        <v>36463.360000000001</v>
      </c>
      <c r="K121" s="7">
        <v>921</v>
      </c>
      <c r="L121" s="7">
        <v>596.58000000000004</v>
      </c>
      <c r="M121" s="7">
        <v>534.87</v>
      </c>
      <c r="N121" s="7">
        <v>0.12350125845533944</v>
      </c>
      <c r="O121" s="7">
        <v>0.54854079809410361</v>
      </c>
    </row>
    <row r="122" spans="1:15">
      <c r="A122" s="7" t="s">
        <v>2</v>
      </c>
      <c r="B122" s="7" t="s">
        <v>78</v>
      </c>
      <c r="C122" s="7" t="s">
        <v>50</v>
      </c>
      <c r="D122" s="7">
        <v>1601</v>
      </c>
      <c r="E122" s="7">
        <v>527</v>
      </c>
      <c r="F122" s="7">
        <v>3558</v>
      </c>
      <c r="G122" s="7">
        <v>314918.74</v>
      </c>
      <c r="H122" s="7">
        <v>283129.59999999998</v>
      </c>
      <c r="I122" s="7">
        <v>31789.56</v>
      </c>
      <c r="J122" s="7">
        <v>30567.39</v>
      </c>
      <c r="K122" s="7">
        <v>844</v>
      </c>
      <c r="L122" s="7">
        <v>597.57000000000005</v>
      </c>
      <c r="M122" s="7">
        <v>537.25</v>
      </c>
      <c r="N122" s="7">
        <v>0.10796253729740728</v>
      </c>
      <c r="O122" s="7">
        <v>0.52717051842598373</v>
      </c>
    </row>
    <row r="123" spans="1:15">
      <c r="A123" s="7" t="s">
        <v>2</v>
      </c>
      <c r="B123" s="7" t="s">
        <v>78</v>
      </c>
      <c r="C123" s="7" t="s">
        <v>51</v>
      </c>
      <c r="D123" s="7">
        <v>1510</v>
      </c>
      <c r="E123" s="7">
        <v>513</v>
      </c>
      <c r="F123" s="7">
        <v>3436</v>
      </c>
      <c r="G123" s="7">
        <v>300015.65999999997</v>
      </c>
      <c r="H123" s="7">
        <v>270342.99</v>
      </c>
      <c r="I123" s="7">
        <v>29673.040000000001</v>
      </c>
      <c r="J123" s="7">
        <v>25934.97</v>
      </c>
      <c r="K123" s="7">
        <v>902</v>
      </c>
      <c r="L123" s="7">
        <v>584.83000000000004</v>
      </c>
      <c r="M123" s="7">
        <v>526.98</v>
      </c>
      <c r="N123" s="7">
        <v>9.5933576824019012E-2</v>
      </c>
      <c r="O123" s="7">
        <v>0.59735099337748343</v>
      </c>
    </row>
    <row r="124" spans="1:15">
      <c r="A124" s="7" t="s">
        <v>2</v>
      </c>
      <c r="B124" s="7" t="s">
        <v>78</v>
      </c>
      <c r="C124" s="7" t="s">
        <v>52</v>
      </c>
      <c r="D124" s="7">
        <v>1504</v>
      </c>
      <c r="E124" s="7">
        <v>504</v>
      </c>
      <c r="F124" s="7">
        <v>3296</v>
      </c>
      <c r="G124" s="7">
        <v>289152.23</v>
      </c>
      <c r="H124" s="7">
        <v>259542.3</v>
      </c>
      <c r="I124" s="7">
        <v>29610.29</v>
      </c>
      <c r="J124" s="7">
        <v>36925.67</v>
      </c>
      <c r="K124" s="7">
        <v>812</v>
      </c>
      <c r="L124" s="7">
        <v>573.71</v>
      </c>
      <c r="M124" s="7">
        <v>514.96</v>
      </c>
      <c r="N124" s="7">
        <v>0.14227226159281164</v>
      </c>
      <c r="O124" s="7">
        <v>0.53989361702127658</v>
      </c>
    </row>
    <row r="125" spans="1:15">
      <c r="A125" s="7" t="s">
        <v>2</v>
      </c>
      <c r="B125" s="7" t="s">
        <v>78</v>
      </c>
      <c r="C125" s="7" t="s">
        <v>53</v>
      </c>
      <c r="D125" s="7">
        <v>1553</v>
      </c>
      <c r="E125" s="7">
        <v>503</v>
      </c>
      <c r="F125" s="7">
        <v>3443</v>
      </c>
      <c r="G125" s="7">
        <v>303624.78999999998</v>
      </c>
      <c r="H125" s="7">
        <v>272904.28000000003</v>
      </c>
      <c r="I125" s="7">
        <v>30720.799999999999</v>
      </c>
      <c r="J125" s="7">
        <v>34136.53</v>
      </c>
      <c r="K125" s="7">
        <v>851</v>
      </c>
      <c r="L125" s="7">
        <v>603.63</v>
      </c>
      <c r="M125" s="7">
        <v>542.54999999999995</v>
      </c>
      <c r="N125" s="7">
        <v>0.12508609245703289</v>
      </c>
      <c r="O125" s="7">
        <v>0.54797166773985839</v>
      </c>
    </row>
    <row r="126" spans="1:15">
      <c r="A126" s="7" t="s">
        <v>2</v>
      </c>
      <c r="B126" s="7" t="s">
        <v>78</v>
      </c>
      <c r="C126" s="7" t="s">
        <v>54</v>
      </c>
      <c r="D126" s="7">
        <v>1549</v>
      </c>
      <c r="E126" s="7">
        <v>522</v>
      </c>
      <c r="F126" s="7">
        <v>3364</v>
      </c>
      <c r="G126" s="7">
        <v>293396.40000000002</v>
      </c>
      <c r="H126" s="7">
        <v>263469.92</v>
      </c>
      <c r="I126" s="7">
        <v>29926.89</v>
      </c>
      <c r="J126" s="7">
        <v>40580.559999999998</v>
      </c>
      <c r="K126" s="7">
        <v>859</v>
      </c>
      <c r="L126" s="7">
        <v>562.05999999999995</v>
      </c>
      <c r="M126" s="7">
        <v>504.73</v>
      </c>
      <c r="N126" s="7">
        <v>0.15402350294864781</v>
      </c>
      <c r="O126" s="7">
        <v>0.55455132343447389</v>
      </c>
    </row>
    <row r="127" spans="1:15">
      <c r="A127" s="7" t="s">
        <v>2</v>
      </c>
      <c r="B127" s="7" t="s">
        <v>78</v>
      </c>
      <c r="C127" s="7" t="s">
        <v>55</v>
      </c>
      <c r="D127" s="7">
        <v>1628</v>
      </c>
      <c r="E127" s="7">
        <v>531</v>
      </c>
      <c r="F127" s="7">
        <v>3644</v>
      </c>
      <c r="G127" s="7">
        <v>313212.28000000003</v>
      </c>
      <c r="H127" s="7">
        <v>281524.11</v>
      </c>
      <c r="I127" s="7">
        <v>31688.61</v>
      </c>
      <c r="J127" s="7">
        <v>34196</v>
      </c>
      <c r="K127" s="7">
        <v>916</v>
      </c>
      <c r="L127" s="7">
        <v>589.85</v>
      </c>
      <c r="M127" s="7">
        <v>530.17999999999995</v>
      </c>
      <c r="N127" s="7">
        <v>0.12146739403598505</v>
      </c>
      <c r="O127" s="7">
        <v>0.5626535626535627</v>
      </c>
    </row>
    <row r="128" spans="1:15">
      <c r="A128" s="7" t="s">
        <v>2</v>
      </c>
      <c r="B128" s="7" t="s">
        <v>78</v>
      </c>
      <c r="C128" s="7" t="s">
        <v>56</v>
      </c>
      <c r="D128" s="7">
        <v>1531</v>
      </c>
      <c r="E128" s="7">
        <v>505</v>
      </c>
      <c r="F128" s="7">
        <v>3372</v>
      </c>
      <c r="G128" s="7">
        <v>306833.86</v>
      </c>
      <c r="H128" s="7">
        <v>274578.08</v>
      </c>
      <c r="I128" s="7">
        <v>32256.25</v>
      </c>
      <c r="J128" s="7">
        <v>26794.560000000001</v>
      </c>
      <c r="K128" s="7">
        <v>889</v>
      </c>
      <c r="L128" s="7">
        <v>607.59</v>
      </c>
      <c r="M128" s="7">
        <v>543.72</v>
      </c>
      <c r="N128" s="7">
        <v>9.7584483073084344E-2</v>
      </c>
      <c r="O128" s="7">
        <v>0.58066623122142391</v>
      </c>
    </row>
    <row r="129" spans="1:15">
      <c r="A129" s="7" t="s">
        <v>2</v>
      </c>
      <c r="B129" s="7" t="s">
        <v>78</v>
      </c>
      <c r="C129" s="7" t="s">
        <v>57</v>
      </c>
      <c r="D129" s="7">
        <v>1552</v>
      </c>
      <c r="E129" s="7">
        <v>521</v>
      </c>
      <c r="F129" s="7">
        <v>3421</v>
      </c>
      <c r="G129" s="7">
        <v>309703.69</v>
      </c>
      <c r="H129" s="7">
        <v>277853.21000000002</v>
      </c>
      <c r="I129" s="7">
        <v>31850.78</v>
      </c>
      <c r="J129" s="7">
        <v>31377.59</v>
      </c>
      <c r="K129" s="7">
        <v>865</v>
      </c>
      <c r="L129" s="7">
        <v>594.44000000000005</v>
      </c>
      <c r="M129" s="7">
        <v>533.30999999999995</v>
      </c>
      <c r="N129" s="7">
        <v>0.11292865754547157</v>
      </c>
      <c r="O129" s="7">
        <v>0.55734536082474229</v>
      </c>
    </row>
    <row r="130" spans="1:15">
      <c r="A130" s="7" t="s">
        <v>2</v>
      </c>
      <c r="B130" s="7" t="s">
        <v>78</v>
      </c>
      <c r="C130" s="7" t="s">
        <v>58</v>
      </c>
      <c r="D130" s="7">
        <v>1541</v>
      </c>
      <c r="E130" s="7">
        <v>515</v>
      </c>
      <c r="F130" s="7">
        <v>3367</v>
      </c>
      <c r="G130" s="7">
        <v>306837.69</v>
      </c>
      <c r="H130" s="7">
        <v>276355.84999999998</v>
      </c>
      <c r="I130" s="7">
        <v>30482.18</v>
      </c>
      <c r="J130" s="7">
        <v>35548.75</v>
      </c>
      <c r="K130" s="7">
        <v>854</v>
      </c>
      <c r="L130" s="7">
        <v>595.79999999999995</v>
      </c>
      <c r="M130" s="7">
        <v>536.61</v>
      </c>
      <c r="N130" s="7">
        <v>0.12863396957220194</v>
      </c>
      <c r="O130" s="7">
        <v>0.55418559377027909</v>
      </c>
    </row>
    <row r="131" spans="1:15">
      <c r="A131" s="7" t="s">
        <v>2</v>
      </c>
      <c r="B131" s="7" t="s">
        <v>78</v>
      </c>
      <c r="C131" s="7" t="s">
        <v>59</v>
      </c>
      <c r="D131" s="7">
        <v>1601</v>
      </c>
      <c r="E131" s="7">
        <v>501</v>
      </c>
      <c r="F131" s="7">
        <v>3618</v>
      </c>
      <c r="G131" s="7">
        <v>325899.2</v>
      </c>
      <c r="H131" s="7">
        <v>292328.89</v>
      </c>
      <c r="I131" s="7">
        <v>33570.699999999997</v>
      </c>
      <c r="J131" s="7">
        <v>39792.71</v>
      </c>
      <c r="K131" s="7">
        <v>881</v>
      </c>
      <c r="L131" s="7">
        <v>650.5</v>
      </c>
      <c r="M131" s="7">
        <v>583.49</v>
      </c>
      <c r="N131" s="7">
        <v>0.13612308383204957</v>
      </c>
      <c r="O131" s="7">
        <v>0.55028107432854467</v>
      </c>
    </row>
    <row r="132" spans="1:15">
      <c r="A132" s="7" t="s">
        <v>2</v>
      </c>
      <c r="B132" s="7" t="s">
        <v>78</v>
      </c>
      <c r="C132" s="7" t="s">
        <v>60</v>
      </c>
      <c r="D132" s="7">
        <v>1714</v>
      </c>
      <c r="E132" s="7">
        <v>573</v>
      </c>
      <c r="F132" s="7">
        <v>3769</v>
      </c>
      <c r="G132" s="7">
        <v>335368.65000000002</v>
      </c>
      <c r="H132" s="7">
        <v>302171.23</v>
      </c>
      <c r="I132" s="7">
        <v>33197.79</v>
      </c>
      <c r="J132" s="7">
        <v>39134.97</v>
      </c>
      <c r="K132" s="7">
        <v>881</v>
      </c>
      <c r="L132" s="7">
        <v>585.29</v>
      </c>
      <c r="M132" s="7">
        <v>527.35</v>
      </c>
      <c r="N132" s="7">
        <v>0.12951256147052784</v>
      </c>
      <c r="O132" s="7">
        <v>0.5140023337222871</v>
      </c>
    </row>
    <row r="133" spans="1:15">
      <c r="A133" s="7" t="s">
        <v>2</v>
      </c>
      <c r="B133" s="7" t="s">
        <v>78</v>
      </c>
      <c r="C133" s="7" t="s">
        <v>61</v>
      </c>
      <c r="D133" s="7">
        <v>1475</v>
      </c>
      <c r="E133" s="7">
        <v>493</v>
      </c>
      <c r="F133" s="7">
        <v>3177</v>
      </c>
      <c r="G133" s="7">
        <v>295931.40000000002</v>
      </c>
      <c r="H133" s="7">
        <v>265532.86</v>
      </c>
      <c r="I133" s="7">
        <v>30398.93</v>
      </c>
      <c r="J133" s="7">
        <v>31574.6</v>
      </c>
      <c r="K133" s="7">
        <v>810</v>
      </c>
      <c r="L133" s="7">
        <v>600.27</v>
      </c>
      <c r="M133" s="7">
        <v>538.61</v>
      </c>
      <c r="N133" s="7">
        <v>0.11891032996820054</v>
      </c>
      <c r="O133" s="7">
        <v>0.54915254237288136</v>
      </c>
    </row>
    <row r="134" spans="1:15">
      <c r="A134" s="7" t="s">
        <v>2</v>
      </c>
      <c r="B134" s="7" t="s">
        <v>78</v>
      </c>
      <c r="C134" s="7" t="s">
        <v>62</v>
      </c>
      <c r="D134" s="7">
        <v>1692</v>
      </c>
      <c r="E134" s="7">
        <v>561</v>
      </c>
      <c r="F134" s="7">
        <v>3454</v>
      </c>
      <c r="G134" s="7">
        <v>355405.75</v>
      </c>
      <c r="H134" s="7">
        <v>319789.13</v>
      </c>
      <c r="I134" s="7">
        <v>35617.03</v>
      </c>
      <c r="J134" s="7">
        <v>41593.1</v>
      </c>
      <c r="K134" s="7">
        <v>870</v>
      </c>
      <c r="L134" s="7">
        <v>633.52</v>
      </c>
      <c r="M134" s="7">
        <v>570.03</v>
      </c>
      <c r="N134" s="7">
        <v>0.1300641457075167</v>
      </c>
      <c r="O134" s="7">
        <v>0.51418439716312059</v>
      </c>
    </row>
    <row r="135" spans="1:15">
      <c r="A135" s="7" t="s">
        <v>2</v>
      </c>
      <c r="B135" s="7" t="s">
        <v>78</v>
      </c>
      <c r="C135" s="7" t="s">
        <v>63</v>
      </c>
      <c r="D135" s="7">
        <v>1522</v>
      </c>
      <c r="E135" s="7">
        <v>515</v>
      </c>
      <c r="F135" s="7">
        <v>3219</v>
      </c>
      <c r="G135" s="7">
        <v>319067.65000000002</v>
      </c>
      <c r="H135" s="7">
        <v>286150.28999999998</v>
      </c>
      <c r="I135" s="7">
        <v>32917.730000000003</v>
      </c>
      <c r="J135" s="7">
        <v>31107.06</v>
      </c>
      <c r="K135" s="7">
        <v>779</v>
      </c>
      <c r="L135" s="7">
        <v>619.54999999999995</v>
      </c>
      <c r="M135" s="7">
        <v>555.63</v>
      </c>
      <c r="N135" s="7">
        <v>0.1087088187120132</v>
      </c>
      <c r="O135" s="7">
        <v>0.51182654402102501</v>
      </c>
    </row>
    <row r="136" spans="1:15">
      <c r="A136" s="7" t="s">
        <v>2</v>
      </c>
      <c r="B136" s="7" t="s">
        <v>78</v>
      </c>
      <c r="C136" s="7" t="s">
        <v>64</v>
      </c>
      <c r="D136" s="7">
        <v>1614</v>
      </c>
      <c r="E136" s="7">
        <v>534</v>
      </c>
      <c r="F136" s="7">
        <v>3374</v>
      </c>
      <c r="G136" s="7">
        <v>334417.82</v>
      </c>
      <c r="H136" s="7">
        <v>301177.71999999997</v>
      </c>
      <c r="I136" s="7">
        <v>33240.519999999997</v>
      </c>
      <c r="J136" s="7">
        <v>35079.94</v>
      </c>
      <c r="K136" s="7">
        <v>860</v>
      </c>
      <c r="L136" s="7">
        <v>626.25</v>
      </c>
      <c r="M136" s="7">
        <v>564</v>
      </c>
      <c r="N136" s="7">
        <v>0.11647588008834119</v>
      </c>
      <c r="O136" s="7">
        <v>0.53283767038413876</v>
      </c>
    </row>
    <row r="137" spans="1:15">
      <c r="A137" s="7" t="s">
        <v>2</v>
      </c>
      <c r="B137" s="7" t="s">
        <v>78</v>
      </c>
      <c r="C137" s="7" t="s">
        <v>65</v>
      </c>
      <c r="D137" s="7">
        <v>1550</v>
      </c>
      <c r="E137" s="7">
        <v>520</v>
      </c>
      <c r="F137" s="7">
        <v>3274</v>
      </c>
      <c r="G137" s="7">
        <v>322278.55</v>
      </c>
      <c r="H137" s="7">
        <v>289744.06</v>
      </c>
      <c r="I137" s="7">
        <v>32534.89</v>
      </c>
      <c r="J137" s="7">
        <v>34726.6</v>
      </c>
      <c r="K137" s="7">
        <v>883</v>
      </c>
      <c r="L137" s="7">
        <v>619.77</v>
      </c>
      <c r="M137" s="7">
        <v>557.20000000000005</v>
      </c>
      <c r="N137" s="7">
        <v>0.11985267273468868</v>
      </c>
      <c r="O137" s="7">
        <v>0.56967741935483873</v>
      </c>
    </row>
    <row r="138" spans="1:15">
      <c r="A138" s="7" t="s">
        <v>2</v>
      </c>
      <c r="B138" s="7" t="s">
        <v>78</v>
      </c>
      <c r="C138" s="7" t="s">
        <v>66</v>
      </c>
      <c r="D138" s="7">
        <v>1557</v>
      </c>
      <c r="E138" s="7">
        <v>508</v>
      </c>
      <c r="F138" s="7">
        <v>3092</v>
      </c>
      <c r="G138" s="7">
        <v>340644.34</v>
      </c>
      <c r="H138" s="7">
        <v>305178.69</v>
      </c>
      <c r="I138" s="7">
        <v>35466.050000000003</v>
      </c>
      <c r="J138" s="7">
        <v>37525.68</v>
      </c>
      <c r="K138" s="7">
        <v>860</v>
      </c>
      <c r="L138" s="7">
        <v>670.56</v>
      </c>
      <c r="M138" s="7">
        <v>600.75</v>
      </c>
      <c r="N138" s="7">
        <v>0.1229629762156722</v>
      </c>
      <c r="O138" s="7">
        <v>0.55234425176621704</v>
      </c>
    </row>
    <row r="139" spans="1:15">
      <c r="A139" s="7" t="s">
        <v>2</v>
      </c>
      <c r="B139" s="7" t="s">
        <v>78</v>
      </c>
      <c r="C139" s="7" t="s">
        <v>67</v>
      </c>
      <c r="D139" s="7">
        <v>702</v>
      </c>
      <c r="E139" s="7">
        <v>650</v>
      </c>
      <c r="F139" s="7">
        <v>776</v>
      </c>
      <c r="G139" s="7">
        <v>321969.64</v>
      </c>
      <c r="H139" s="7">
        <v>288162.12</v>
      </c>
      <c r="I139" s="7">
        <v>33807.79</v>
      </c>
      <c r="J139" s="7">
        <v>35376.79</v>
      </c>
      <c r="K139" s="7">
        <v>354</v>
      </c>
      <c r="L139" s="7">
        <v>495.34</v>
      </c>
      <c r="M139" s="7">
        <v>443.33</v>
      </c>
      <c r="N139" s="7">
        <v>0.12276696881602621</v>
      </c>
      <c r="O139" s="7">
        <v>0.50427350427350426</v>
      </c>
    </row>
    <row r="140" spans="1:15">
      <c r="A140" s="7" t="s">
        <v>2</v>
      </c>
      <c r="B140" s="7" t="s">
        <v>78</v>
      </c>
      <c r="C140" s="7" t="s">
        <v>68</v>
      </c>
      <c r="D140" s="7">
        <v>669</v>
      </c>
      <c r="E140" s="7">
        <v>669</v>
      </c>
      <c r="F140" s="7">
        <v>669</v>
      </c>
      <c r="G140" s="7">
        <v>203195.58</v>
      </c>
      <c r="H140" s="7">
        <v>182128.21</v>
      </c>
      <c r="I140" s="7">
        <v>21067.61</v>
      </c>
      <c r="J140" s="7">
        <v>22664.74</v>
      </c>
      <c r="K140" s="7">
        <v>351</v>
      </c>
      <c r="L140" s="7">
        <v>303.73</v>
      </c>
      <c r="M140" s="7">
        <v>272.24</v>
      </c>
      <c r="N140" s="7">
        <v>0.12444387390618951</v>
      </c>
      <c r="O140" s="7">
        <v>0.5246636771300448</v>
      </c>
    </row>
    <row r="141" spans="1:15">
      <c r="A141" s="7" t="s">
        <v>2</v>
      </c>
      <c r="B141" s="7" t="s">
        <v>78</v>
      </c>
      <c r="C141" s="7" t="s">
        <v>69</v>
      </c>
      <c r="D141" s="7">
        <v>614</v>
      </c>
      <c r="E141" s="7">
        <v>614</v>
      </c>
      <c r="F141" s="7">
        <v>614</v>
      </c>
      <c r="G141" s="7">
        <v>152231.34</v>
      </c>
      <c r="H141" s="7">
        <v>136091.31</v>
      </c>
      <c r="I141" s="7">
        <v>16140.39</v>
      </c>
      <c r="J141" s="7">
        <v>14541.36</v>
      </c>
      <c r="K141" s="7">
        <v>357</v>
      </c>
      <c r="L141" s="7">
        <v>247.93</v>
      </c>
      <c r="M141" s="7">
        <v>221.65</v>
      </c>
      <c r="N141" s="7">
        <v>0.10685002591274932</v>
      </c>
      <c r="O141" s="7">
        <v>0.58143322475570036</v>
      </c>
    </row>
    <row r="142" spans="1:15">
      <c r="A142" s="7" t="s">
        <v>2</v>
      </c>
      <c r="B142" s="7" t="s">
        <v>78</v>
      </c>
      <c r="C142" s="7" t="s">
        <v>70</v>
      </c>
      <c r="D142" s="7">
        <v>619</v>
      </c>
      <c r="E142" s="7">
        <v>619</v>
      </c>
      <c r="F142" s="7">
        <v>619</v>
      </c>
      <c r="G142" s="7">
        <v>104730.19</v>
      </c>
      <c r="H142" s="7">
        <v>94169.02</v>
      </c>
      <c r="I142" s="7">
        <v>10561.62</v>
      </c>
      <c r="J142" s="7">
        <v>11897.4</v>
      </c>
      <c r="K142" s="7">
        <v>364</v>
      </c>
      <c r="L142" s="7">
        <v>169.19</v>
      </c>
      <c r="M142" s="7">
        <v>152.13</v>
      </c>
      <c r="N142" s="7">
        <v>0.12634091339168654</v>
      </c>
      <c r="O142" s="7">
        <v>0.58804523424878841</v>
      </c>
    </row>
    <row r="143" spans="1:15">
      <c r="A143" s="7" t="s">
        <v>2</v>
      </c>
      <c r="B143" s="7" t="s">
        <v>79</v>
      </c>
      <c r="C143" s="7" t="s">
        <v>30</v>
      </c>
      <c r="D143" s="7">
        <v>946</v>
      </c>
      <c r="E143" s="7">
        <v>331</v>
      </c>
      <c r="F143" s="7">
        <v>2099</v>
      </c>
      <c r="G143" s="7">
        <v>186133.9</v>
      </c>
      <c r="H143" s="7">
        <v>167331.41</v>
      </c>
      <c r="I143" s="7">
        <v>18802.64</v>
      </c>
      <c r="J143" s="7">
        <v>19739.05</v>
      </c>
      <c r="K143" s="7">
        <v>505</v>
      </c>
      <c r="L143" s="7">
        <v>562.34</v>
      </c>
      <c r="M143" s="7">
        <v>505.53</v>
      </c>
      <c r="N143" s="7">
        <v>0.11796380607801009</v>
      </c>
      <c r="O143" s="7">
        <v>0.53382663847780132</v>
      </c>
    </row>
    <row r="144" spans="1:15">
      <c r="A144" s="7" t="s">
        <v>2</v>
      </c>
      <c r="B144" s="7" t="s">
        <v>79</v>
      </c>
      <c r="C144" s="7" t="s">
        <v>33</v>
      </c>
      <c r="D144" s="7">
        <v>908</v>
      </c>
      <c r="E144" s="7">
        <v>295</v>
      </c>
      <c r="F144" s="7">
        <v>1964</v>
      </c>
      <c r="G144" s="7">
        <v>175675.96</v>
      </c>
      <c r="H144" s="7">
        <v>158280.10999999999</v>
      </c>
      <c r="I144" s="7">
        <v>17395.98</v>
      </c>
      <c r="J144" s="7">
        <v>16767.23</v>
      </c>
      <c r="K144" s="7">
        <v>487</v>
      </c>
      <c r="L144" s="7">
        <v>595.51</v>
      </c>
      <c r="M144" s="7">
        <v>536.54</v>
      </c>
      <c r="N144" s="7">
        <v>0.1059339041399453</v>
      </c>
      <c r="O144" s="7">
        <v>0.53634361233480177</v>
      </c>
    </row>
    <row r="145" spans="1:15">
      <c r="A145" s="7" t="s">
        <v>2</v>
      </c>
      <c r="B145" s="7" t="s">
        <v>79</v>
      </c>
      <c r="C145" s="7" t="s">
        <v>35</v>
      </c>
      <c r="D145" s="7">
        <v>939</v>
      </c>
      <c r="E145" s="7">
        <v>311</v>
      </c>
      <c r="F145" s="7">
        <v>1999</v>
      </c>
      <c r="G145" s="7">
        <v>181367.13</v>
      </c>
      <c r="H145" s="7">
        <v>164070.39000000001</v>
      </c>
      <c r="I145" s="7">
        <v>17296.939999999999</v>
      </c>
      <c r="J145" s="7">
        <v>19882.32</v>
      </c>
      <c r="K145" s="7">
        <v>502</v>
      </c>
      <c r="L145" s="7">
        <v>583.16999999999996</v>
      </c>
      <c r="M145" s="7">
        <v>527.55999999999995</v>
      </c>
      <c r="N145" s="7">
        <v>0.12118164648721806</v>
      </c>
      <c r="O145" s="7">
        <v>0.53461128860489882</v>
      </c>
    </row>
    <row r="146" spans="1:15">
      <c r="A146" s="7" t="s">
        <v>2</v>
      </c>
      <c r="B146" s="7" t="s">
        <v>79</v>
      </c>
      <c r="C146" s="7" t="s">
        <v>36</v>
      </c>
      <c r="D146" s="7">
        <v>911</v>
      </c>
      <c r="E146" s="7">
        <v>303</v>
      </c>
      <c r="F146" s="7">
        <v>1975</v>
      </c>
      <c r="G146" s="7">
        <v>175467.57</v>
      </c>
      <c r="H146" s="7">
        <v>157123.72</v>
      </c>
      <c r="I146" s="7">
        <v>18344.060000000001</v>
      </c>
      <c r="J146" s="7">
        <v>18183</v>
      </c>
      <c r="K146" s="7">
        <v>460</v>
      </c>
      <c r="L146" s="7">
        <v>579.1</v>
      </c>
      <c r="M146" s="7">
        <v>518.55999999999995</v>
      </c>
      <c r="N146" s="7">
        <v>0.115724093090464</v>
      </c>
      <c r="O146" s="7">
        <v>0.50493962678375415</v>
      </c>
    </row>
    <row r="147" spans="1:15">
      <c r="A147" s="7" t="s">
        <v>2</v>
      </c>
      <c r="B147" s="7" t="s">
        <v>79</v>
      </c>
      <c r="C147" s="7" t="s">
        <v>37</v>
      </c>
      <c r="D147" s="7">
        <v>952</v>
      </c>
      <c r="E147" s="7">
        <v>319</v>
      </c>
      <c r="F147" s="7">
        <v>2104</v>
      </c>
      <c r="G147" s="7">
        <v>187596.06</v>
      </c>
      <c r="H147" s="7">
        <v>168340.73</v>
      </c>
      <c r="I147" s="7">
        <v>19255.57</v>
      </c>
      <c r="J147" s="7">
        <v>21863.08</v>
      </c>
      <c r="K147" s="7">
        <v>481</v>
      </c>
      <c r="L147" s="7">
        <v>588.08000000000004</v>
      </c>
      <c r="M147" s="7">
        <v>527.71</v>
      </c>
      <c r="N147" s="7">
        <v>0.12987397642863971</v>
      </c>
      <c r="O147" s="7">
        <v>0.50525210084033612</v>
      </c>
    </row>
    <row r="148" spans="1:15">
      <c r="A148" s="7" t="s">
        <v>2</v>
      </c>
      <c r="B148" s="7" t="s">
        <v>79</v>
      </c>
      <c r="C148" s="7" t="s">
        <v>39</v>
      </c>
      <c r="D148" s="7">
        <v>905</v>
      </c>
      <c r="E148" s="7">
        <v>313</v>
      </c>
      <c r="F148" s="7">
        <v>1944</v>
      </c>
      <c r="G148" s="7">
        <v>175454.19</v>
      </c>
      <c r="H148" s="7">
        <v>158704.57</v>
      </c>
      <c r="I148" s="7">
        <v>16749.86</v>
      </c>
      <c r="J148" s="7">
        <v>17243.41</v>
      </c>
      <c r="K148" s="7">
        <v>482</v>
      </c>
      <c r="L148" s="7">
        <v>560.55999999999995</v>
      </c>
      <c r="M148" s="7">
        <v>507.04</v>
      </c>
      <c r="N148" s="7">
        <v>0.10865099851882022</v>
      </c>
      <c r="O148" s="7">
        <v>0.53259668508287294</v>
      </c>
    </row>
    <row r="149" spans="1:15">
      <c r="A149" s="7" t="s">
        <v>2</v>
      </c>
      <c r="B149" s="7" t="s">
        <v>79</v>
      </c>
      <c r="C149" s="7" t="s">
        <v>40</v>
      </c>
      <c r="D149" s="7">
        <v>943</v>
      </c>
      <c r="E149" s="7">
        <v>313</v>
      </c>
      <c r="F149" s="7">
        <v>2130</v>
      </c>
      <c r="G149" s="7">
        <v>180331.99</v>
      </c>
      <c r="H149" s="7">
        <v>161279.09</v>
      </c>
      <c r="I149" s="7">
        <v>19053.2</v>
      </c>
      <c r="J149" s="7">
        <v>15758.58</v>
      </c>
      <c r="K149" s="7">
        <v>537</v>
      </c>
      <c r="L149" s="7">
        <v>576.14</v>
      </c>
      <c r="M149" s="7">
        <v>515.27</v>
      </c>
      <c r="N149" s="7">
        <v>9.7710000719870141E-2</v>
      </c>
      <c r="O149" s="7">
        <v>0.56945917285259806</v>
      </c>
    </row>
    <row r="150" spans="1:15">
      <c r="A150" s="7" t="s">
        <v>2</v>
      </c>
      <c r="B150" s="7" t="s">
        <v>79</v>
      </c>
      <c r="C150" s="7" t="s">
        <v>41</v>
      </c>
      <c r="D150" s="7">
        <v>913</v>
      </c>
      <c r="E150" s="7">
        <v>318</v>
      </c>
      <c r="F150" s="7">
        <v>1948</v>
      </c>
      <c r="G150" s="7">
        <v>176719.31</v>
      </c>
      <c r="H150" s="7">
        <v>158967.56</v>
      </c>
      <c r="I150" s="7">
        <v>17751.96</v>
      </c>
      <c r="J150" s="7">
        <v>16930.95</v>
      </c>
      <c r="K150" s="7">
        <v>504</v>
      </c>
      <c r="L150" s="7">
        <v>555.72</v>
      </c>
      <c r="M150" s="7">
        <v>499.9</v>
      </c>
      <c r="N150" s="7">
        <v>0.10650569210472879</v>
      </c>
      <c r="O150" s="7">
        <v>0.55202628696604605</v>
      </c>
    </row>
    <row r="151" spans="1:15">
      <c r="A151" s="7" t="s">
        <v>2</v>
      </c>
      <c r="B151" s="7" t="s">
        <v>79</v>
      </c>
      <c r="C151" s="7" t="s">
        <v>42</v>
      </c>
      <c r="D151" s="7">
        <v>890</v>
      </c>
      <c r="E151" s="7">
        <v>299</v>
      </c>
      <c r="F151" s="7">
        <v>1993</v>
      </c>
      <c r="G151" s="7">
        <v>176238.44</v>
      </c>
      <c r="H151" s="7">
        <v>156981.31</v>
      </c>
      <c r="I151" s="7">
        <v>19257.47</v>
      </c>
      <c r="J151" s="7">
        <v>18439.509999999998</v>
      </c>
      <c r="K151" s="7">
        <v>508</v>
      </c>
      <c r="L151" s="7">
        <v>589.42999999999995</v>
      </c>
      <c r="M151" s="7">
        <v>525.02</v>
      </c>
      <c r="N151" s="7">
        <v>0.1174630916253661</v>
      </c>
      <c r="O151" s="7">
        <v>0.57078651685393256</v>
      </c>
    </row>
    <row r="152" spans="1:15">
      <c r="A152" s="7" t="s">
        <v>2</v>
      </c>
      <c r="B152" s="7" t="s">
        <v>79</v>
      </c>
      <c r="C152" s="7" t="s">
        <v>43</v>
      </c>
      <c r="D152" s="7">
        <v>988</v>
      </c>
      <c r="E152" s="7">
        <v>332</v>
      </c>
      <c r="F152" s="7">
        <v>2176</v>
      </c>
      <c r="G152" s="7">
        <v>193865.43</v>
      </c>
      <c r="H152" s="7">
        <v>174210.49</v>
      </c>
      <c r="I152" s="7">
        <v>19655.16</v>
      </c>
      <c r="J152" s="7">
        <v>22773.19</v>
      </c>
      <c r="K152" s="7">
        <v>558</v>
      </c>
      <c r="L152" s="7">
        <v>583.92999999999995</v>
      </c>
      <c r="M152" s="7">
        <v>524.73</v>
      </c>
      <c r="N152" s="7">
        <v>0.13072226592095573</v>
      </c>
      <c r="O152" s="7">
        <v>0.56477732793522262</v>
      </c>
    </row>
    <row r="153" spans="1:15">
      <c r="A153" s="7" t="s">
        <v>2</v>
      </c>
      <c r="B153" s="7" t="s">
        <v>79</v>
      </c>
      <c r="C153" s="7" t="s">
        <v>44</v>
      </c>
      <c r="D153" s="7">
        <v>960</v>
      </c>
      <c r="E153" s="7">
        <v>309</v>
      </c>
      <c r="F153" s="7">
        <v>2043</v>
      </c>
      <c r="G153" s="7">
        <v>191772.4</v>
      </c>
      <c r="H153" s="7">
        <v>172478.47</v>
      </c>
      <c r="I153" s="7">
        <v>19294.21</v>
      </c>
      <c r="J153" s="7">
        <v>23247.360000000001</v>
      </c>
      <c r="K153" s="7">
        <v>501</v>
      </c>
      <c r="L153" s="7">
        <v>620.62</v>
      </c>
      <c r="M153" s="7">
        <v>558.17999999999995</v>
      </c>
      <c r="N153" s="7">
        <v>0.13478412696958642</v>
      </c>
      <c r="O153" s="7">
        <v>0.52187499999999998</v>
      </c>
    </row>
    <row r="154" spans="1:15">
      <c r="A154" s="7" t="s">
        <v>2</v>
      </c>
      <c r="B154" s="7" t="s">
        <v>79</v>
      </c>
      <c r="C154" s="7" t="s">
        <v>45</v>
      </c>
      <c r="D154" s="7">
        <v>952</v>
      </c>
      <c r="E154" s="7">
        <v>318</v>
      </c>
      <c r="F154" s="7">
        <v>2134</v>
      </c>
      <c r="G154" s="7">
        <v>186379.26</v>
      </c>
      <c r="H154" s="7">
        <v>167728.04</v>
      </c>
      <c r="I154" s="7">
        <v>18651.419999999998</v>
      </c>
      <c r="J154" s="7">
        <v>19358.02</v>
      </c>
      <c r="K154" s="7">
        <v>503</v>
      </c>
      <c r="L154" s="7">
        <v>586.1</v>
      </c>
      <c r="M154" s="7">
        <v>527.45000000000005</v>
      </c>
      <c r="N154" s="7">
        <v>0.11541314141630701</v>
      </c>
      <c r="O154" s="7">
        <v>0.52836134453781514</v>
      </c>
    </row>
    <row r="155" spans="1:15">
      <c r="A155" s="7" t="s">
        <v>2</v>
      </c>
      <c r="B155" s="7" t="s">
        <v>79</v>
      </c>
      <c r="C155" s="7" t="s">
        <v>46</v>
      </c>
      <c r="D155" s="7">
        <v>947</v>
      </c>
      <c r="E155" s="7">
        <v>312</v>
      </c>
      <c r="F155" s="7">
        <v>2077</v>
      </c>
      <c r="G155" s="7">
        <v>188668.25</v>
      </c>
      <c r="H155" s="7">
        <v>169679.56</v>
      </c>
      <c r="I155" s="7">
        <v>18988.95</v>
      </c>
      <c r="J155" s="7">
        <v>22096.59</v>
      </c>
      <c r="K155" s="7">
        <v>527</v>
      </c>
      <c r="L155" s="7">
        <v>604.71</v>
      </c>
      <c r="M155" s="7">
        <v>543.84</v>
      </c>
      <c r="N155" s="7">
        <v>0.13022540841100719</v>
      </c>
      <c r="O155" s="7">
        <v>0.55649419218585006</v>
      </c>
    </row>
    <row r="156" spans="1:15">
      <c r="A156" s="7" t="s">
        <v>2</v>
      </c>
      <c r="B156" s="7" t="s">
        <v>79</v>
      </c>
      <c r="C156" s="7" t="s">
        <v>47</v>
      </c>
      <c r="D156" s="7">
        <v>902</v>
      </c>
      <c r="E156" s="7">
        <v>291</v>
      </c>
      <c r="F156" s="7">
        <v>2006</v>
      </c>
      <c r="G156" s="7">
        <v>179591.79</v>
      </c>
      <c r="H156" s="7">
        <v>161818.29999999999</v>
      </c>
      <c r="I156" s="7">
        <v>17773.73</v>
      </c>
      <c r="J156" s="7">
        <v>12995.85</v>
      </c>
      <c r="K156" s="7">
        <v>479</v>
      </c>
      <c r="L156" s="7">
        <v>617.15</v>
      </c>
      <c r="M156" s="7">
        <v>556.08000000000004</v>
      </c>
      <c r="N156" s="7">
        <v>8.0311373929895458E-2</v>
      </c>
      <c r="O156" s="7">
        <v>0.53104212860310418</v>
      </c>
    </row>
    <row r="157" spans="1:15">
      <c r="A157" s="7" t="s">
        <v>2</v>
      </c>
      <c r="B157" s="7" t="s">
        <v>79</v>
      </c>
      <c r="C157" s="7" t="s">
        <v>48</v>
      </c>
      <c r="D157" s="7">
        <v>975</v>
      </c>
      <c r="E157" s="7">
        <v>330</v>
      </c>
      <c r="F157" s="7">
        <v>2103</v>
      </c>
      <c r="G157" s="7">
        <v>188952.73</v>
      </c>
      <c r="H157" s="7">
        <v>169624.65</v>
      </c>
      <c r="I157" s="7">
        <v>19328.259999999998</v>
      </c>
      <c r="J157" s="7">
        <v>16336.09</v>
      </c>
      <c r="K157" s="7">
        <v>564</v>
      </c>
      <c r="L157" s="7">
        <v>572.58000000000004</v>
      </c>
      <c r="M157" s="7">
        <v>514.01</v>
      </c>
      <c r="N157" s="7">
        <v>9.6307287885339779E-2</v>
      </c>
      <c r="O157" s="7">
        <v>0.57846153846153847</v>
      </c>
    </row>
    <row r="158" spans="1:15">
      <c r="A158" s="7" t="s">
        <v>2</v>
      </c>
      <c r="B158" s="7" t="s">
        <v>79</v>
      </c>
      <c r="C158" s="7" t="s">
        <v>49</v>
      </c>
      <c r="D158" s="7">
        <v>809</v>
      </c>
      <c r="E158" s="7">
        <v>267</v>
      </c>
      <c r="F158" s="7">
        <v>1786</v>
      </c>
      <c r="G158" s="7">
        <v>157387.37</v>
      </c>
      <c r="H158" s="7">
        <v>142023.04000000001</v>
      </c>
      <c r="I158" s="7">
        <v>15364.48</v>
      </c>
      <c r="J158" s="7">
        <v>21298.07</v>
      </c>
      <c r="K158" s="7">
        <v>484</v>
      </c>
      <c r="L158" s="7">
        <v>589.47</v>
      </c>
      <c r="M158" s="7">
        <v>531.91999999999996</v>
      </c>
      <c r="N158" s="7">
        <v>0.14996207657574431</v>
      </c>
      <c r="O158" s="7">
        <v>0.59826946847960449</v>
      </c>
    </row>
    <row r="159" spans="1:15">
      <c r="A159" s="7" t="s">
        <v>2</v>
      </c>
      <c r="B159" s="7" t="s">
        <v>79</v>
      </c>
      <c r="C159" s="7" t="s">
        <v>50</v>
      </c>
      <c r="D159" s="7">
        <v>896</v>
      </c>
      <c r="E159" s="7">
        <v>294</v>
      </c>
      <c r="F159" s="7">
        <v>1957</v>
      </c>
      <c r="G159" s="7">
        <v>174640.29</v>
      </c>
      <c r="H159" s="7">
        <v>156991.34</v>
      </c>
      <c r="I159" s="7">
        <v>17649.150000000001</v>
      </c>
      <c r="J159" s="7">
        <v>16521.900000000001</v>
      </c>
      <c r="K159" s="7">
        <v>549</v>
      </c>
      <c r="L159" s="7">
        <v>594.01</v>
      </c>
      <c r="M159" s="7">
        <v>533.98</v>
      </c>
      <c r="N159" s="7">
        <v>0.10524083685125563</v>
      </c>
      <c r="O159" s="7">
        <v>0.6127232142857143</v>
      </c>
    </row>
    <row r="160" spans="1:15">
      <c r="A160" s="7" t="s">
        <v>2</v>
      </c>
      <c r="B160" s="7" t="s">
        <v>79</v>
      </c>
      <c r="C160" s="7" t="s">
        <v>51</v>
      </c>
      <c r="D160" s="7">
        <v>899</v>
      </c>
      <c r="E160" s="7">
        <v>290</v>
      </c>
      <c r="F160" s="7">
        <v>1927</v>
      </c>
      <c r="G160" s="7">
        <v>181985.13</v>
      </c>
      <c r="H160" s="7">
        <v>163223.04999999999</v>
      </c>
      <c r="I160" s="7">
        <v>18762.3</v>
      </c>
      <c r="J160" s="7">
        <v>20853.38</v>
      </c>
      <c r="K160" s="7">
        <v>470</v>
      </c>
      <c r="L160" s="7">
        <v>627.53</v>
      </c>
      <c r="M160" s="7">
        <v>562.84</v>
      </c>
      <c r="N160" s="7">
        <v>0.12776001918846633</v>
      </c>
      <c r="O160" s="7">
        <v>0.52280311457174633</v>
      </c>
    </row>
    <row r="161" spans="1:15">
      <c r="A161" s="7" t="s">
        <v>2</v>
      </c>
      <c r="B161" s="7" t="s">
        <v>79</v>
      </c>
      <c r="C161" s="7" t="s">
        <v>52</v>
      </c>
      <c r="D161" s="7">
        <v>1023</v>
      </c>
      <c r="E161" s="7">
        <v>337</v>
      </c>
      <c r="F161" s="7">
        <v>2258</v>
      </c>
      <c r="G161" s="7">
        <v>201795.49</v>
      </c>
      <c r="H161" s="7">
        <v>181358.2</v>
      </c>
      <c r="I161" s="7">
        <v>20437.490000000002</v>
      </c>
      <c r="J161" s="7">
        <v>23230.83</v>
      </c>
      <c r="K161" s="7">
        <v>550</v>
      </c>
      <c r="L161" s="7">
        <v>598.79999999999995</v>
      </c>
      <c r="M161" s="7">
        <v>538.15</v>
      </c>
      <c r="N161" s="7">
        <v>0.12809362907218974</v>
      </c>
      <c r="O161" s="7">
        <v>0.5376344086021505</v>
      </c>
    </row>
    <row r="162" spans="1:15">
      <c r="A162" s="7" t="s">
        <v>2</v>
      </c>
      <c r="B162" s="7" t="s">
        <v>79</v>
      </c>
      <c r="C162" s="7" t="s">
        <v>53</v>
      </c>
      <c r="D162" s="7">
        <v>948</v>
      </c>
      <c r="E162" s="7">
        <v>317</v>
      </c>
      <c r="F162" s="7">
        <v>2031</v>
      </c>
      <c r="G162" s="7">
        <v>182267.1</v>
      </c>
      <c r="H162" s="7">
        <v>163876.65</v>
      </c>
      <c r="I162" s="7">
        <v>18390.689999999999</v>
      </c>
      <c r="J162" s="7">
        <v>13549.07</v>
      </c>
      <c r="K162" s="7">
        <v>534</v>
      </c>
      <c r="L162" s="7">
        <v>574.98</v>
      </c>
      <c r="M162" s="7">
        <v>516.96</v>
      </c>
      <c r="N162" s="7">
        <v>8.2678465785088973E-2</v>
      </c>
      <c r="O162" s="7">
        <v>0.56329113924050633</v>
      </c>
    </row>
    <row r="163" spans="1:15">
      <c r="A163" s="7" t="s">
        <v>2</v>
      </c>
      <c r="B163" s="7" t="s">
        <v>79</v>
      </c>
      <c r="C163" s="7" t="s">
        <v>54</v>
      </c>
      <c r="D163" s="7">
        <v>890</v>
      </c>
      <c r="E163" s="7">
        <v>306</v>
      </c>
      <c r="F163" s="7">
        <v>1936</v>
      </c>
      <c r="G163" s="7">
        <v>174586.34</v>
      </c>
      <c r="H163" s="7">
        <v>157329.99</v>
      </c>
      <c r="I163" s="7">
        <v>17256.55</v>
      </c>
      <c r="J163" s="7">
        <v>15498.17</v>
      </c>
      <c r="K163" s="7">
        <v>473</v>
      </c>
      <c r="L163" s="7">
        <v>570.54</v>
      </c>
      <c r="M163" s="7">
        <v>514.15</v>
      </c>
      <c r="N163" s="7">
        <v>9.8507411079095608E-2</v>
      </c>
      <c r="O163" s="7">
        <v>0.53146067415730336</v>
      </c>
    </row>
    <row r="164" spans="1:15">
      <c r="A164" s="7" t="s">
        <v>2</v>
      </c>
      <c r="B164" s="7" t="s">
        <v>79</v>
      </c>
      <c r="C164" s="7" t="s">
        <v>55</v>
      </c>
      <c r="D164" s="7">
        <v>869</v>
      </c>
      <c r="E164" s="7">
        <v>295</v>
      </c>
      <c r="F164" s="7">
        <v>1951</v>
      </c>
      <c r="G164" s="7">
        <v>170497.97</v>
      </c>
      <c r="H164" s="7">
        <v>152525.44</v>
      </c>
      <c r="I164" s="7">
        <v>17972.740000000002</v>
      </c>
      <c r="J164" s="7">
        <v>18807.7</v>
      </c>
      <c r="K164" s="7">
        <v>507</v>
      </c>
      <c r="L164" s="7">
        <v>577.96</v>
      </c>
      <c r="M164" s="7">
        <v>517.04</v>
      </c>
      <c r="N164" s="7">
        <v>0.12330861002597338</v>
      </c>
      <c r="O164" s="7">
        <v>0.5834292289988493</v>
      </c>
    </row>
    <row r="165" spans="1:15">
      <c r="A165" s="7" t="s">
        <v>2</v>
      </c>
      <c r="B165" s="7" t="s">
        <v>79</v>
      </c>
      <c r="C165" s="7" t="s">
        <v>56</v>
      </c>
      <c r="D165" s="7">
        <v>958</v>
      </c>
      <c r="E165" s="7">
        <v>313</v>
      </c>
      <c r="F165" s="7">
        <v>2147</v>
      </c>
      <c r="G165" s="7">
        <v>192236.32</v>
      </c>
      <c r="H165" s="7">
        <v>173357.04</v>
      </c>
      <c r="I165" s="7">
        <v>18879.55</v>
      </c>
      <c r="J165" s="7">
        <v>20759.060000000001</v>
      </c>
      <c r="K165" s="7">
        <v>494</v>
      </c>
      <c r="L165" s="7">
        <v>614.16999999999996</v>
      </c>
      <c r="M165" s="7">
        <v>553.86</v>
      </c>
      <c r="N165" s="7">
        <v>0.11974742992842979</v>
      </c>
      <c r="O165" s="7">
        <v>0.51565762004175364</v>
      </c>
    </row>
    <row r="166" spans="1:15">
      <c r="A166" s="7" t="s">
        <v>2</v>
      </c>
      <c r="B166" s="7" t="s">
        <v>79</v>
      </c>
      <c r="C166" s="7" t="s">
        <v>57</v>
      </c>
      <c r="D166" s="7">
        <v>968</v>
      </c>
      <c r="E166" s="7">
        <v>316</v>
      </c>
      <c r="F166" s="7">
        <v>2186</v>
      </c>
      <c r="G166" s="7">
        <v>186275.68</v>
      </c>
      <c r="H166" s="7">
        <v>167308.54999999999</v>
      </c>
      <c r="I166" s="7">
        <v>18967.46</v>
      </c>
      <c r="J166" s="7">
        <v>21351.599999999999</v>
      </c>
      <c r="K166" s="7">
        <v>557</v>
      </c>
      <c r="L166" s="7">
        <v>589.48</v>
      </c>
      <c r="M166" s="7">
        <v>529.46</v>
      </c>
      <c r="N166" s="7">
        <v>0.1276181043945453</v>
      </c>
      <c r="O166" s="7">
        <v>0.57541322314049592</v>
      </c>
    </row>
    <row r="167" spans="1:15">
      <c r="A167" s="7" t="s">
        <v>2</v>
      </c>
      <c r="B167" s="7" t="s">
        <v>79</v>
      </c>
      <c r="C167" s="7" t="s">
        <v>58</v>
      </c>
      <c r="D167" s="7">
        <v>894</v>
      </c>
      <c r="E167" s="7">
        <v>304</v>
      </c>
      <c r="F167" s="7">
        <v>2005</v>
      </c>
      <c r="G167" s="7">
        <v>170601.42</v>
      </c>
      <c r="H167" s="7">
        <v>152621.84</v>
      </c>
      <c r="I167" s="7">
        <v>17979.82</v>
      </c>
      <c r="J167" s="7">
        <v>26826.42</v>
      </c>
      <c r="K167" s="7">
        <v>453</v>
      </c>
      <c r="L167" s="7">
        <v>561.19000000000005</v>
      </c>
      <c r="M167" s="7">
        <v>502.05</v>
      </c>
      <c r="N167" s="7">
        <v>0.17577051881958705</v>
      </c>
      <c r="O167" s="7">
        <v>0.50671140939597314</v>
      </c>
    </row>
    <row r="168" spans="1:15">
      <c r="A168" s="7" t="s">
        <v>2</v>
      </c>
      <c r="B168" s="7" t="s">
        <v>79</v>
      </c>
      <c r="C168" s="7" t="s">
        <v>59</v>
      </c>
      <c r="D168" s="7">
        <v>850</v>
      </c>
      <c r="E168" s="7">
        <v>288</v>
      </c>
      <c r="F168" s="7">
        <v>1930</v>
      </c>
      <c r="G168" s="7">
        <v>175249.25</v>
      </c>
      <c r="H168" s="7">
        <v>157283.5</v>
      </c>
      <c r="I168" s="7">
        <v>17965.93</v>
      </c>
      <c r="J168" s="7">
        <v>20198.509999999998</v>
      </c>
      <c r="K168" s="7">
        <v>490</v>
      </c>
      <c r="L168" s="7">
        <v>608.5</v>
      </c>
      <c r="M168" s="7">
        <v>546.12</v>
      </c>
      <c r="N168" s="7">
        <v>0.12842103590014209</v>
      </c>
      <c r="O168" s="7">
        <v>0.57647058823529407</v>
      </c>
    </row>
    <row r="169" spans="1:15">
      <c r="A169" s="7" t="s">
        <v>2</v>
      </c>
      <c r="B169" s="7" t="s">
        <v>79</v>
      </c>
      <c r="C169" s="7" t="s">
        <v>60</v>
      </c>
      <c r="D169" s="7">
        <v>1029</v>
      </c>
      <c r="E169" s="7">
        <v>338</v>
      </c>
      <c r="F169" s="7">
        <v>2229</v>
      </c>
      <c r="G169" s="7">
        <v>204588.69</v>
      </c>
      <c r="H169" s="7">
        <v>184361.31</v>
      </c>
      <c r="I169" s="7">
        <v>20227.59</v>
      </c>
      <c r="J169" s="7">
        <v>25506.35</v>
      </c>
      <c r="K169" s="7">
        <v>599</v>
      </c>
      <c r="L169" s="7">
        <v>605.29</v>
      </c>
      <c r="M169" s="7">
        <v>545.45000000000005</v>
      </c>
      <c r="N169" s="7">
        <v>0.13834979801347691</v>
      </c>
      <c r="O169" s="7">
        <v>0.58211856171039844</v>
      </c>
    </row>
    <row r="170" spans="1:15">
      <c r="A170" s="7" t="s">
        <v>2</v>
      </c>
      <c r="B170" s="7" t="s">
        <v>79</v>
      </c>
      <c r="C170" s="7" t="s">
        <v>61</v>
      </c>
      <c r="D170" s="7">
        <v>942</v>
      </c>
      <c r="E170" s="7">
        <v>323</v>
      </c>
      <c r="F170" s="7">
        <v>2033</v>
      </c>
      <c r="G170" s="7">
        <v>189358.76</v>
      </c>
      <c r="H170" s="7">
        <v>170509.47</v>
      </c>
      <c r="I170" s="7">
        <v>18849.46</v>
      </c>
      <c r="J170" s="7">
        <v>19884.919999999998</v>
      </c>
      <c r="K170" s="7">
        <v>523</v>
      </c>
      <c r="L170" s="7">
        <v>586.25</v>
      </c>
      <c r="M170" s="7">
        <v>527.89</v>
      </c>
      <c r="N170" s="7">
        <v>0.11662061937087718</v>
      </c>
      <c r="O170" s="7">
        <v>0.55520169851380041</v>
      </c>
    </row>
    <row r="171" spans="1:15">
      <c r="A171" s="7" t="s">
        <v>2</v>
      </c>
      <c r="B171" s="7" t="s">
        <v>79</v>
      </c>
      <c r="C171" s="7" t="s">
        <v>62</v>
      </c>
      <c r="D171" s="7">
        <v>938</v>
      </c>
      <c r="E171" s="7">
        <v>307</v>
      </c>
      <c r="F171" s="7">
        <v>1944</v>
      </c>
      <c r="G171" s="7">
        <v>194465.93</v>
      </c>
      <c r="H171" s="7">
        <v>174536.88</v>
      </c>
      <c r="I171" s="7">
        <v>19929.29</v>
      </c>
      <c r="J171" s="7">
        <v>18524.75</v>
      </c>
      <c r="K171" s="7">
        <v>514</v>
      </c>
      <c r="L171" s="7">
        <v>633.44000000000005</v>
      </c>
      <c r="M171" s="7">
        <v>568.52</v>
      </c>
      <c r="N171" s="7">
        <v>0.10613659416852186</v>
      </c>
      <c r="O171" s="7">
        <v>0.54797441364605548</v>
      </c>
    </row>
    <row r="172" spans="1:15">
      <c r="A172" s="7" t="s">
        <v>2</v>
      </c>
      <c r="B172" s="7" t="s">
        <v>79</v>
      </c>
      <c r="C172" s="7" t="s">
        <v>63</v>
      </c>
      <c r="D172" s="7">
        <v>963</v>
      </c>
      <c r="E172" s="7">
        <v>320</v>
      </c>
      <c r="F172" s="7">
        <v>2017</v>
      </c>
      <c r="G172" s="7">
        <v>205157.05</v>
      </c>
      <c r="H172" s="7">
        <v>184181.32</v>
      </c>
      <c r="I172" s="7">
        <v>20975.96</v>
      </c>
      <c r="J172" s="7">
        <v>22586.01</v>
      </c>
      <c r="K172" s="7">
        <v>562</v>
      </c>
      <c r="L172" s="7">
        <v>641.12</v>
      </c>
      <c r="M172" s="7">
        <v>575.57000000000005</v>
      </c>
      <c r="N172" s="7">
        <v>0.1226292112576889</v>
      </c>
      <c r="O172" s="7">
        <v>0.58359293873312568</v>
      </c>
    </row>
    <row r="173" spans="1:15">
      <c r="A173" s="7" t="s">
        <v>2</v>
      </c>
      <c r="B173" s="7" t="s">
        <v>79</v>
      </c>
      <c r="C173" s="7" t="s">
        <v>64</v>
      </c>
      <c r="D173" s="7">
        <v>887</v>
      </c>
      <c r="E173" s="7">
        <v>304</v>
      </c>
      <c r="F173" s="7">
        <v>1794</v>
      </c>
      <c r="G173" s="7">
        <v>180498.81</v>
      </c>
      <c r="H173" s="7">
        <v>162524.96</v>
      </c>
      <c r="I173" s="7">
        <v>17974.05</v>
      </c>
      <c r="J173" s="7">
        <v>15986.03</v>
      </c>
      <c r="K173" s="7">
        <v>471</v>
      </c>
      <c r="L173" s="7">
        <v>593.75</v>
      </c>
      <c r="M173" s="7">
        <v>534.62</v>
      </c>
      <c r="N173" s="7">
        <v>9.8360461063949814E-2</v>
      </c>
      <c r="O173" s="7">
        <v>0.53100338218714771</v>
      </c>
    </row>
    <row r="174" spans="1:15">
      <c r="A174" s="7" t="s">
        <v>2</v>
      </c>
      <c r="B174" s="7" t="s">
        <v>79</v>
      </c>
      <c r="C174" s="7" t="s">
        <v>65</v>
      </c>
      <c r="D174" s="7">
        <v>906</v>
      </c>
      <c r="E174" s="7">
        <v>309</v>
      </c>
      <c r="F174" s="7">
        <v>1937</v>
      </c>
      <c r="G174" s="7">
        <v>195058.36</v>
      </c>
      <c r="H174" s="7">
        <v>174621.47</v>
      </c>
      <c r="I174" s="7">
        <v>20437.080000000002</v>
      </c>
      <c r="J174" s="7">
        <v>25135.98</v>
      </c>
      <c r="K174" s="7">
        <v>492</v>
      </c>
      <c r="L174" s="7">
        <v>631.26</v>
      </c>
      <c r="M174" s="7">
        <v>565.12</v>
      </c>
      <c r="N174" s="7">
        <v>0.14394552972208974</v>
      </c>
      <c r="O174" s="7">
        <v>0.54304635761589404</v>
      </c>
    </row>
    <row r="175" spans="1:15">
      <c r="A175" s="7" t="s">
        <v>2</v>
      </c>
      <c r="B175" s="7" t="s">
        <v>79</v>
      </c>
      <c r="C175" s="7" t="s">
        <v>66</v>
      </c>
      <c r="D175" s="7">
        <v>981</v>
      </c>
      <c r="E175" s="7">
        <v>334</v>
      </c>
      <c r="F175" s="7">
        <v>1932</v>
      </c>
      <c r="G175" s="7">
        <v>214623.05</v>
      </c>
      <c r="H175" s="7">
        <v>192336.49</v>
      </c>
      <c r="I175" s="7">
        <v>22286.76</v>
      </c>
      <c r="J175" s="7">
        <v>23861.87</v>
      </c>
      <c r="K175" s="7">
        <v>542</v>
      </c>
      <c r="L175" s="7">
        <v>642.58000000000004</v>
      </c>
      <c r="M175" s="7">
        <v>575.86</v>
      </c>
      <c r="N175" s="7">
        <v>0.12406314579204393</v>
      </c>
      <c r="O175" s="7">
        <v>0.55249745158002039</v>
      </c>
    </row>
    <row r="176" spans="1:15">
      <c r="A176" s="7" t="s">
        <v>2</v>
      </c>
      <c r="B176" s="7" t="s">
        <v>79</v>
      </c>
      <c r="C176" s="7" t="s">
        <v>67</v>
      </c>
      <c r="D176" s="7">
        <v>400</v>
      </c>
      <c r="E176" s="7">
        <v>376</v>
      </c>
      <c r="F176" s="7">
        <v>445</v>
      </c>
      <c r="G176" s="7">
        <v>189221.59</v>
      </c>
      <c r="H176" s="7">
        <v>170207.68</v>
      </c>
      <c r="I176" s="7">
        <v>19014.05</v>
      </c>
      <c r="J176" s="7">
        <v>10908.7</v>
      </c>
      <c r="K176" s="7">
        <v>216</v>
      </c>
      <c r="L176" s="7">
        <v>503.25</v>
      </c>
      <c r="M176" s="7">
        <v>452.68</v>
      </c>
      <c r="N176" s="7">
        <v>6.4090527524962457E-2</v>
      </c>
      <c r="O176" s="7">
        <v>0.54</v>
      </c>
    </row>
    <row r="177" spans="1:15">
      <c r="A177" s="7" t="s">
        <v>2</v>
      </c>
      <c r="B177" s="7" t="s">
        <v>79</v>
      </c>
      <c r="C177" s="7" t="s">
        <v>68</v>
      </c>
      <c r="D177" s="7">
        <v>343</v>
      </c>
      <c r="E177" s="7">
        <v>343</v>
      </c>
      <c r="F177" s="7">
        <v>343</v>
      </c>
      <c r="G177" s="7">
        <v>98909.5</v>
      </c>
      <c r="H177" s="7">
        <v>88762.92</v>
      </c>
      <c r="I177" s="7">
        <v>10146.709999999999</v>
      </c>
      <c r="J177" s="7">
        <v>9659.76</v>
      </c>
      <c r="K177" s="7">
        <v>206</v>
      </c>
      <c r="L177" s="7">
        <v>288.37</v>
      </c>
      <c r="M177" s="7">
        <v>258.77999999999997</v>
      </c>
      <c r="N177" s="7">
        <v>0.10882652350778907</v>
      </c>
      <c r="O177" s="7">
        <v>0.6005830903790087</v>
      </c>
    </row>
    <row r="178" spans="1:15">
      <c r="A178" s="7" t="s">
        <v>2</v>
      </c>
      <c r="B178" s="7" t="s">
        <v>79</v>
      </c>
      <c r="C178" s="7" t="s">
        <v>69</v>
      </c>
      <c r="D178" s="7">
        <v>367</v>
      </c>
      <c r="E178" s="7">
        <v>367</v>
      </c>
      <c r="F178" s="7">
        <v>367</v>
      </c>
      <c r="G178" s="7">
        <v>72829.7</v>
      </c>
      <c r="H178" s="7">
        <v>65504.84</v>
      </c>
      <c r="I178" s="7">
        <v>7325.08</v>
      </c>
      <c r="J178" s="7">
        <v>8293.7900000000009</v>
      </c>
      <c r="K178" s="7">
        <v>205</v>
      </c>
      <c r="L178" s="7">
        <v>198.45</v>
      </c>
      <c r="M178" s="7">
        <v>178.49</v>
      </c>
      <c r="N178" s="7">
        <v>0.12661339223178011</v>
      </c>
      <c r="O178" s="7">
        <v>0.55858310626703001</v>
      </c>
    </row>
    <row r="179" spans="1:15">
      <c r="A179" s="7" t="s">
        <v>2</v>
      </c>
      <c r="B179" s="7" t="s">
        <v>79</v>
      </c>
      <c r="C179" s="7" t="s">
        <v>70</v>
      </c>
      <c r="D179" s="7">
        <v>435</v>
      </c>
      <c r="E179" s="7">
        <v>435</v>
      </c>
      <c r="F179" s="7">
        <v>435</v>
      </c>
      <c r="G179" s="7">
        <v>64089.68</v>
      </c>
      <c r="H179" s="7">
        <v>57409.67</v>
      </c>
      <c r="I179" s="7">
        <v>6680.4</v>
      </c>
      <c r="J179" s="7">
        <v>9983.24</v>
      </c>
      <c r="K179" s="7">
        <v>258</v>
      </c>
      <c r="L179" s="7">
        <v>147.33000000000001</v>
      </c>
      <c r="M179" s="7">
        <v>131.97999999999999</v>
      </c>
      <c r="N179" s="7">
        <v>0.17389474630319249</v>
      </c>
      <c r="O179" s="7">
        <v>0.59310344827586203</v>
      </c>
    </row>
    <row r="180" spans="1:15">
      <c r="A180" s="7" t="s">
        <v>82</v>
      </c>
      <c r="B180" s="7" t="s">
        <v>2</v>
      </c>
      <c r="C180" s="7" t="s">
        <v>53</v>
      </c>
      <c r="D180" s="7">
        <v>484</v>
      </c>
      <c r="E180" s="7">
        <v>165</v>
      </c>
      <c r="F180" s="7">
        <v>1024</v>
      </c>
      <c r="G180" s="7">
        <v>96740.44</v>
      </c>
      <c r="H180" s="7">
        <v>86992.39</v>
      </c>
      <c r="I180" s="7">
        <v>9748.17</v>
      </c>
      <c r="J180" s="7">
        <v>8755.7999999999993</v>
      </c>
      <c r="K180" s="7">
        <v>259</v>
      </c>
      <c r="L180" s="7">
        <v>586.30999999999995</v>
      </c>
      <c r="M180" s="7">
        <v>527.23</v>
      </c>
      <c r="N180" s="7">
        <v>0.10065018330913772</v>
      </c>
      <c r="O180" s="7">
        <v>0.53512396694214881</v>
      </c>
    </row>
    <row r="181" spans="1:15">
      <c r="A181" s="7" t="s">
        <v>82</v>
      </c>
      <c r="B181" s="7" t="s">
        <v>2</v>
      </c>
      <c r="C181" s="7" t="s">
        <v>54</v>
      </c>
      <c r="D181" s="7">
        <v>2587</v>
      </c>
      <c r="E181" s="7">
        <v>869</v>
      </c>
      <c r="F181" s="7">
        <v>5640</v>
      </c>
      <c r="G181" s="7">
        <v>507614.65</v>
      </c>
      <c r="H181" s="7">
        <v>455935.22</v>
      </c>
      <c r="I181" s="7">
        <v>51680.03</v>
      </c>
      <c r="J181" s="7">
        <v>65462.68</v>
      </c>
      <c r="K181" s="7">
        <v>1370</v>
      </c>
      <c r="L181" s="7">
        <v>584.14</v>
      </c>
      <c r="M181" s="7">
        <v>524.66999999999996</v>
      </c>
      <c r="N181" s="7">
        <v>0.143578905792801</v>
      </c>
      <c r="O181" s="7">
        <v>0.52957093158098179</v>
      </c>
    </row>
    <row r="182" spans="1:15">
      <c r="A182" s="7" t="s">
        <v>82</v>
      </c>
      <c r="B182" s="7" t="s">
        <v>2</v>
      </c>
      <c r="C182" s="7" t="s">
        <v>55</v>
      </c>
      <c r="D182" s="7">
        <v>2383</v>
      </c>
      <c r="E182" s="7">
        <v>784</v>
      </c>
      <c r="F182" s="7">
        <v>5304</v>
      </c>
      <c r="G182" s="7">
        <v>462024.88</v>
      </c>
      <c r="H182" s="7">
        <v>415576.67</v>
      </c>
      <c r="I182" s="7">
        <v>46448.73</v>
      </c>
      <c r="J182" s="7">
        <v>49135.42</v>
      </c>
      <c r="K182" s="7">
        <v>1267</v>
      </c>
      <c r="L182" s="7">
        <v>589.32000000000005</v>
      </c>
      <c r="M182" s="7">
        <v>530.07000000000005</v>
      </c>
      <c r="N182" s="7">
        <v>0.11823430800386364</v>
      </c>
      <c r="O182" s="7">
        <v>0.53168275283256394</v>
      </c>
    </row>
    <row r="183" spans="1:15">
      <c r="A183" s="7" t="s">
        <v>82</v>
      </c>
      <c r="B183" s="7" t="s">
        <v>2</v>
      </c>
      <c r="C183" s="7" t="s">
        <v>56</v>
      </c>
      <c r="D183" s="7">
        <v>2426</v>
      </c>
      <c r="E183" s="7">
        <v>807</v>
      </c>
      <c r="F183" s="7">
        <v>5333</v>
      </c>
      <c r="G183" s="7">
        <v>492548.64</v>
      </c>
      <c r="H183" s="7">
        <v>442795.2</v>
      </c>
      <c r="I183" s="7">
        <v>49754.07</v>
      </c>
      <c r="J183" s="7">
        <v>48290.04</v>
      </c>
      <c r="K183" s="7">
        <v>1329</v>
      </c>
      <c r="L183" s="7">
        <v>610.35</v>
      </c>
      <c r="M183" s="7">
        <v>548.69000000000005</v>
      </c>
      <c r="N183" s="7">
        <v>0.10905727975371006</v>
      </c>
      <c r="O183" s="7">
        <v>0.54781533388293491</v>
      </c>
    </row>
    <row r="184" spans="1:15">
      <c r="A184" s="7" t="s">
        <v>82</v>
      </c>
      <c r="B184" s="7" t="s">
        <v>2</v>
      </c>
      <c r="C184" s="7" t="s">
        <v>57</v>
      </c>
      <c r="D184" s="7">
        <v>2476</v>
      </c>
      <c r="E184" s="7">
        <v>820</v>
      </c>
      <c r="F184" s="7">
        <v>5507</v>
      </c>
      <c r="G184" s="7">
        <v>487694.11</v>
      </c>
      <c r="H184" s="7">
        <v>436541.5</v>
      </c>
      <c r="I184" s="7">
        <v>51153.33</v>
      </c>
      <c r="J184" s="7">
        <v>50254.69</v>
      </c>
      <c r="K184" s="7">
        <v>1483</v>
      </c>
      <c r="L184" s="7">
        <v>594.75</v>
      </c>
      <c r="M184" s="7">
        <v>532.37</v>
      </c>
      <c r="N184" s="7">
        <v>0.11512007449463568</v>
      </c>
      <c r="O184" s="7">
        <v>0.59894991922455576</v>
      </c>
    </row>
    <row r="185" spans="1:15">
      <c r="A185" s="7" t="s">
        <v>82</v>
      </c>
      <c r="B185" s="7" t="s">
        <v>2</v>
      </c>
      <c r="C185" s="7" t="s">
        <v>58</v>
      </c>
      <c r="D185" s="7">
        <v>1258</v>
      </c>
      <c r="E185" s="7">
        <v>409</v>
      </c>
      <c r="F185" s="7">
        <v>2795</v>
      </c>
      <c r="G185" s="7">
        <v>247830.16</v>
      </c>
      <c r="H185" s="7">
        <v>223838.39</v>
      </c>
      <c r="I185" s="7">
        <v>23992.04</v>
      </c>
      <c r="J185" s="7">
        <v>30172.55</v>
      </c>
      <c r="K185" s="7">
        <v>632</v>
      </c>
      <c r="L185" s="7">
        <v>605.94000000000005</v>
      </c>
      <c r="M185" s="7">
        <v>547.28</v>
      </c>
      <c r="N185" s="7">
        <v>0.13479613572988974</v>
      </c>
      <c r="O185" s="7">
        <v>0.50238473767885528</v>
      </c>
    </row>
    <row r="186" spans="1:15">
      <c r="A186" s="7" t="s">
        <v>82</v>
      </c>
      <c r="B186" s="7" t="s">
        <v>77</v>
      </c>
      <c r="C186" s="7" t="s">
        <v>53</v>
      </c>
      <c r="D186" s="7">
        <v>251</v>
      </c>
      <c r="E186" s="7">
        <v>88</v>
      </c>
      <c r="F186" s="7">
        <v>560</v>
      </c>
      <c r="G186" s="7">
        <v>50271.28</v>
      </c>
      <c r="H186" s="7">
        <v>44999.18</v>
      </c>
      <c r="I186" s="7">
        <v>5272.16</v>
      </c>
      <c r="J186" s="7">
        <v>4998.26</v>
      </c>
      <c r="K186" s="7">
        <v>138</v>
      </c>
      <c r="L186" s="7">
        <v>571.26</v>
      </c>
      <c r="M186" s="7">
        <v>511.35</v>
      </c>
      <c r="N186" s="7">
        <v>0.11107446846809209</v>
      </c>
      <c r="O186" s="7">
        <v>0.54980079681274896</v>
      </c>
    </row>
    <row r="187" spans="1:15">
      <c r="A187" s="7" t="s">
        <v>82</v>
      </c>
      <c r="B187" s="7" t="s">
        <v>77</v>
      </c>
      <c r="C187" s="7" t="s">
        <v>54</v>
      </c>
      <c r="D187" s="7">
        <v>1392</v>
      </c>
      <c r="E187" s="7">
        <v>469</v>
      </c>
      <c r="F187" s="7">
        <v>3075</v>
      </c>
      <c r="G187" s="7">
        <v>273375.65000000002</v>
      </c>
      <c r="H187" s="7">
        <v>245113.88</v>
      </c>
      <c r="I187" s="7">
        <v>28262.07</v>
      </c>
      <c r="J187" s="7">
        <v>36709.440000000002</v>
      </c>
      <c r="K187" s="7">
        <v>743</v>
      </c>
      <c r="L187" s="7">
        <v>582.89</v>
      </c>
      <c r="M187" s="7">
        <v>522.63</v>
      </c>
      <c r="N187" s="7">
        <v>0.1497648358387538</v>
      </c>
      <c r="O187" s="7">
        <v>0.53376436781609193</v>
      </c>
    </row>
    <row r="188" spans="1:15">
      <c r="A188" s="7" t="s">
        <v>82</v>
      </c>
      <c r="B188" s="7" t="s">
        <v>77</v>
      </c>
      <c r="C188" s="7" t="s">
        <v>55</v>
      </c>
      <c r="D188" s="7">
        <v>1202</v>
      </c>
      <c r="E188" s="7">
        <v>399</v>
      </c>
      <c r="F188" s="7">
        <v>2625</v>
      </c>
      <c r="G188" s="7">
        <v>235078.87</v>
      </c>
      <c r="H188" s="7">
        <v>211646.93</v>
      </c>
      <c r="I188" s="7">
        <v>23432.21</v>
      </c>
      <c r="J188" s="7">
        <v>25510.33</v>
      </c>
      <c r="K188" s="7">
        <v>611</v>
      </c>
      <c r="L188" s="7">
        <v>589.16999999999996</v>
      </c>
      <c r="M188" s="7">
        <v>530.44000000000005</v>
      </c>
      <c r="N188" s="7">
        <v>0.12053248303672537</v>
      </c>
      <c r="O188" s="7">
        <v>0.50831946755407653</v>
      </c>
    </row>
    <row r="189" spans="1:15">
      <c r="A189" s="7" t="s">
        <v>82</v>
      </c>
      <c r="B189" s="7" t="s">
        <v>77</v>
      </c>
      <c r="C189" s="7" t="s">
        <v>56</v>
      </c>
      <c r="D189" s="7">
        <v>1240</v>
      </c>
      <c r="E189" s="7">
        <v>415</v>
      </c>
      <c r="F189" s="7">
        <v>2707</v>
      </c>
      <c r="G189" s="7">
        <v>253115.84</v>
      </c>
      <c r="H189" s="7">
        <v>228217</v>
      </c>
      <c r="I189" s="7">
        <v>24899.08</v>
      </c>
      <c r="J189" s="7">
        <v>26451.37</v>
      </c>
      <c r="K189" s="7">
        <v>680</v>
      </c>
      <c r="L189" s="7">
        <v>609.91999999999996</v>
      </c>
      <c r="M189" s="7">
        <v>549.91999999999996</v>
      </c>
      <c r="N189" s="7">
        <v>0.11590446811587217</v>
      </c>
      <c r="O189" s="7">
        <v>0.54838709677419351</v>
      </c>
    </row>
    <row r="190" spans="1:15">
      <c r="A190" s="7" t="s">
        <v>82</v>
      </c>
      <c r="B190" s="7" t="s">
        <v>77</v>
      </c>
      <c r="C190" s="7" t="s">
        <v>57</v>
      </c>
      <c r="D190" s="7">
        <v>1305</v>
      </c>
      <c r="E190" s="7">
        <v>438</v>
      </c>
      <c r="F190" s="7">
        <v>2908</v>
      </c>
      <c r="G190" s="7">
        <v>253412.17</v>
      </c>
      <c r="H190" s="7">
        <v>226725.81</v>
      </c>
      <c r="I190" s="7">
        <v>26686.75</v>
      </c>
      <c r="J190" s="7">
        <v>24036.61</v>
      </c>
      <c r="K190" s="7">
        <v>806</v>
      </c>
      <c r="L190" s="7">
        <v>578.57000000000005</v>
      </c>
      <c r="M190" s="7">
        <v>517.64</v>
      </c>
      <c r="N190" s="7">
        <v>0.1060162052128075</v>
      </c>
      <c r="O190" s="7">
        <v>0.61762452107279697</v>
      </c>
    </row>
    <row r="191" spans="1:15">
      <c r="A191" s="7" t="s">
        <v>82</v>
      </c>
      <c r="B191" s="7" t="s">
        <v>77</v>
      </c>
      <c r="C191" s="7" t="s">
        <v>58</v>
      </c>
      <c r="D191" s="7">
        <v>617</v>
      </c>
      <c r="E191" s="7">
        <v>200</v>
      </c>
      <c r="F191" s="7">
        <v>1356</v>
      </c>
      <c r="G191" s="7">
        <v>122180.26</v>
      </c>
      <c r="H191" s="7">
        <v>110107.49</v>
      </c>
      <c r="I191" s="7">
        <v>12072.93</v>
      </c>
      <c r="J191" s="7">
        <v>11894.88</v>
      </c>
      <c r="K191" s="7">
        <v>327</v>
      </c>
      <c r="L191" s="7">
        <v>610.9</v>
      </c>
      <c r="M191" s="7">
        <v>550.54</v>
      </c>
      <c r="N191" s="7">
        <v>0.10802970806073228</v>
      </c>
      <c r="O191" s="7">
        <v>0.52998379254457051</v>
      </c>
    </row>
    <row r="192" spans="1:15">
      <c r="A192" s="7" t="s">
        <v>82</v>
      </c>
      <c r="B192" s="7" t="s">
        <v>78</v>
      </c>
      <c r="C192" s="7" t="s">
        <v>53</v>
      </c>
      <c r="D192" s="7">
        <v>162</v>
      </c>
      <c r="E192" s="7">
        <v>54</v>
      </c>
      <c r="F192" s="7">
        <v>320</v>
      </c>
      <c r="G192" s="7">
        <v>32331.53</v>
      </c>
      <c r="H192" s="7">
        <v>29326.83</v>
      </c>
      <c r="I192" s="7">
        <v>3004.72</v>
      </c>
      <c r="J192" s="7">
        <v>1503.44</v>
      </c>
      <c r="K192" s="7">
        <v>87</v>
      </c>
      <c r="L192" s="7">
        <v>598.73</v>
      </c>
      <c r="M192" s="7">
        <v>543.09</v>
      </c>
      <c r="N192" s="7">
        <v>5.1265002047613056E-2</v>
      </c>
      <c r="O192" s="7">
        <v>0.53703703703703709</v>
      </c>
    </row>
    <row r="193" spans="1:15">
      <c r="A193" s="7" t="s">
        <v>82</v>
      </c>
      <c r="B193" s="7" t="s">
        <v>78</v>
      </c>
      <c r="C193" s="7" t="s">
        <v>54</v>
      </c>
      <c r="D193" s="7">
        <v>737</v>
      </c>
      <c r="E193" s="7">
        <v>247</v>
      </c>
      <c r="F193" s="7">
        <v>1583</v>
      </c>
      <c r="G193" s="7">
        <v>142428.69</v>
      </c>
      <c r="H193" s="7">
        <v>128196.29</v>
      </c>
      <c r="I193" s="7">
        <v>14232.59</v>
      </c>
      <c r="J193" s="7">
        <v>21439.15</v>
      </c>
      <c r="K193" s="7">
        <v>383</v>
      </c>
      <c r="L193" s="7">
        <v>576.63</v>
      </c>
      <c r="M193" s="7">
        <v>519.01</v>
      </c>
      <c r="N193" s="7">
        <v>0.1672368989773417</v>
      </c>
      <c r="O193" s="7">
        <v>0.51967435549525098</v>
      </c>
    </row>
    <row r="194" spans="1:15">
      <c r="A194" s="7" t="s">
        <v>82</v>
      </c>
      <c r="B194" s="7" t="s">
        <v>78</v>
      </c>
      <c r="C194" s="7" t="s">
        <v>55</v>
      </c>
      <c r="D194" s="7">
        <v>772</v>
      </c>
      <c r="E194" s="7">
        <v>249</v>
      </c>
      <c r="F194" s="7">
        <v>1734</v>
      </c>
      <c r="G194" s="7">
        <v>148695.75</v>
      </c>
      <c r="H194" s="7">
        <v>133847.92000000001</v>
      </c>
      <c r="I194" s="7">
        <v>14848.01</v>
      </c>
      <c r="J194" s="7">
        <v>14473.41</v>
      </c>
      <c r="K194" s="7">
        <v>434</v>
      </c>
      <c r="L194" s="7">
        <v>597.16999999999996</v>
      </c>
      <c r="M194" s="7">
        <v>537.54</v>
      </c>
      <c r="N194" s="7">
        <v>0.10813324555211615</v>
      </c>
      <c r="O194" s="7">
        <v>0.56217616580310881</v>
      </c>
    </row>
    <row r="195" spans="1:15">
      <c r="A195" s="7" t="s">
        <v>82</v>
      </c>
      <c r="B195" s="7" t="s">
        <v>78</v>
      </c>
      <c r="C195" s="7" t="s">
        <v>56</v>
      </c>
      <c r="D195" s="7">
        <v>719</v>
      </c>
      <c r="E195" s="7">
        <v>241</v>
      </c>
      <c r="F195" s="7">
        <v>1533</v>
      </c>
      <c r="G195" s="7">
        <v>145925.41</v>
      </c>
      <c r="H195" s="7">
        <v>130744.39</v>
      </c>
      <c r="I195" s="7">
        <v>15181.24</v>
      </c>
      <c r="J195" s="7">
        <v>12325.7</v>
      </c>
      <c r="K195" s="7">
        <v>407</v>
      </c>
      <c r="L195" s="7">
        <v>605.5</v>
      </c>
      <c r="M195" s="7">
        <v>542.51</v>
      </c>
      <c r="N195" s="7">
        <v>9.4273260978922302E-2</v>
      </c>
      <c r="O195" s="7">
        <v>0.56606397774687067</v>
      </c>
    </row>
    <row r="196" spans="1:15">
      <c r="A196" s="7" t="s">
        <v>82</v>
      </c>
      <c r="B196" s="7" t="s">
        <v>78</v>
      </c>
      <c r="C196" s="7" t="s">
        <v>57</v>
      </c>
      <c r="D196" s="7">
        <v>750</v>
      </c>
      <c r="E196" s="7">
        <v>249</v>
      </c>
      <c r="F196" s="7">
        <v>1661</v>
      </c>
      <c r="G196" s="7">
        <v>152318.01</v>
      </c>
      <c r="H196" s="7">
        <v>136391.51</v>
      </c>
      <c r="I196" s="7">
        <v>15926.65</v>
      </c>
      <c r="J196" s="7">
        <v>16106.43</v>
      </c>
      <c r="K196" s="7">
        <v>426</v>
      </c>
      <c r="L196" s="7">
        <v>611.72</v>
      </c>
      <c r="M196" s="7">
        <v>547.76</v>
      </c>
      <c r="N196" s="7">
        <v>0.11808968168179969</v>
      </c>
      <c r="O196" s="7">
        <v>0.56799999999999995</v>
      </c>
    </row>
    <row r="197" spans="1:15">
      <c r="A197" s="7" t="s">
        <v>82</v>
      </c>
      <c r="B197" s="7" t="s">
        <v>78</v>
      </c>
      <c r="C197" s="7" t="s">
        <v>58</v>
      </c>
      <c r="D197" s="7">
        <v>388</v>
      </c>
      <c r="E197" s="7">
        <v>127</v>
      </c>
      <c r="F197" s="7">
        <v>840</v>
      </c>
      <c r="G197" s="7">
        <v>78058.11</v>
      </c>
      <c r="H197" s="7">
        <v>70756.92</v>
      </c>
      <c r="I197" s="7">
        <v>7301.24</v>
      </c>
      <c r="J197" s="7">
        <v>9913.24</v>
      </c>
      <c r="K197" s="7">
        <v>206</v>
      </c>
      <c r="L197" s="7">
        <v>614.63</v>
      </c>
      <c r="M197" s="7">
        <v>557.14</v>
      </c>
      <c r="N197" s="7">
        <v>0.14010276309370165</v>
      </c>
      <c r="O197" s="7">
        <v>0.53092783505154639</v>
      </c>
    </row>
    <row r="198" spans="1:15">
      <c r="A198" s="7" t="s">
        <v>82</v>
      </c>
      <c r="B198" s="7" t="s">
        <v>79</v>
      </c>
      <c r="C198" s="7" t="s">
        <v>53</v>
      </c>
      <c r="D198" s="7">
        <v>71</v>
      </c>
      <c r="E198" s="7">
        <v>23</v>
      </c>
      <c r="F198" s="7">
        <v>144</v>
      </c>
      <c r="G198" s="7">
        <v>14137.63</v>
      </c>
      <c r="H198" s="7">
        <v>12666.38</v>
      </c>
      <c r="I198" s="7">
        <v>1471.29</v>
      </c>
      <c r="J198" s="7">
        <v>2254.1</v>
      </c>
      <c r="K198" s="7">
        <v>34</v>
      </c>
      <c r="L198" s="7">
        <v>614.67999999999995</v>
      </c>
      <c r="M198" s="7">
        <v>550.71</v>
      </c>
      <c r="N198" s="7">
        <v>0.17795929065763066</v>
      </c>
      <c r="O198" s="7">
        <v>0.47887323943661969</v>
      </c>
    </row>
    <row r="199" spans="1:15">
      <c r="A199" s="7" t="s">
        <v>82</v>
      </c>
      <c r="B199" s="7" t="s">
        <v>79</v>
      </c>
      <c r="C199" s="7" t="s">
        <v>54</v>
      </c>
      <c r="D199" s="7">
        <v>458</v>
      </c>
      <c r="E199" s="7">
        <v>153</v>
      </c>
      <c r="F199" s="7">
        <v>982</v>
      </c>
      <c r="G199" s="7">
        <v>91810.31</v>
      </c>
      <c r="H199" s="7">
        <v>82625.05</v>
      </c>
      <c r="I199" s="7">
        <v>9185.3700000000008</v>
      </c>
      <c r="J199" s="7">
        <v>7314.09</v>
      </c>
      <c r="K199" s="7">
        <v>244</v>
      </c>
      <c r="L199" s="7">
        <v>600.07000000000005</v>
      </c>
      <c r="M199" s="7">
        <v>540.03</v>
      </c>
      <c r="N199" s="7">
        <v>8.8521459291098767E-2</v>
      </c>
      <c r="O199" s="7">
        <v>0.53275109170305679</v>
      </c>
    </row>
    <row r="200" spans="1:15">
      <c r="A200" s="7" t="s">
        <v>82</v>
      </c>
      <c r="B200" s="7" t="s">
        <v>79</v>
      </c>
      <c r="C200" s="7" t="s">
        <v>55</v>
      </c>
      <c r="D200" s="7">
        <v>409</v>
      </c>
      <c r="E200" s="7">
        <v>136</v>
      </c>
      <c r="F200" s="7">
        <v>945</v>
      </c>
      <c r="G200" s="7">
        <v>78250.259999999995</v>
      </c>
      <c r="H200" s="7">
        <v>70081.820000000007</v>
      </c>
      <c r="I200" s="7">
        <v>8168.51</v>
      </c>
      <c r="J200" s="7">
        <v>9151.68</v>
      </c>
      <c r="K200" s="7">
        <v>222</v>
      </c>
      <c r="L200" s="7">
        <v>575.37</v>
      </c>
      <c r="M200" s="7">
        <v>515.30999999999995</v>
      </c>
      <c r="N200" s="7">
        <v>0.13058564974482684</v>
      </c>
      <c r="O200" s="7">
        <v>0.54278728606356963</v>
      </c>
    </row>
    <row r="201" spans="1:15">
      <c r="A201" s="7" t="s">
        <v>82</v>
      </c>
      <c r="B201" s="7" t="s">
        <v>79</v>
      </c>
      <c r="C201" s="7" t="s">
        <v>56</v>
      </c>
      <c r="D201" s="7">
        <v>467</v>
      </c>
      <c r="E201" s="7">
        <v>151</v>
      </c>
      <c r="F201" s="7">
        <v>1093</v>
      </c>
      <c r="G201" s="7">
        <v>93507.39</v>
      </c>
      <c r="H201" s="7">
        <v>83833.81</v>
      </c>
      <c r="I201" s="7">
        <v>9673.75</v>
      </c>
      <c r="J201" s="7">
        <v>9512.9699999999993</v>
      </c>
      <c r="K201" s="7">
        <v>242</v>
      </c>
      <c r="L201" s="7">
        <v>619.25</v>
      </c>
      <c r="M201" s="7">
        <v>555.19000000000005</v>
      </c>
      <c r="N201" s="7">
        <v>0.11347414605157513</v>
      </c>
      <c r="O201" s="7">
        <v>0.5182012847965739</v>
      </c>
    </row>
    <row r="202" spans="1:15">
      <c r="A202" s="7" t="s">
        <v>82</v>
      </c>
      <c r="B202" s="7" t="s">
        <v>79</v>
      </c>
      <c r="C202" s="7" t="s">
        <v>57</v>
      </c>
      <c r="D202" s="7">
        <v>421</v>
      </c>
      <c r="E202" s="7">
        <v>133</v>
      </c>
      <c r="F202" s="7">
        <v>938</v>
      </c>
      <c r="G202" s="7">
        <v>81963.929999999993</v>
      </c>
      <c r="H202" s="7">
        <v>73424.179999999993</v>
      </c>
      <c r="I202" s="7">
        <v>8539.93</v>
      </c>
      <c r="J202" s="7">
        <v>10111.65</v>
      </c>
      <c r="K202" s="7">
        <v>251</v>
      </c>
      <c r="L202" s="7">
        <v>616.27</v>
      </c>
      <c r="M202" s="7">
        <v>552.05999999999995</v>
      </c>
      <c r="N202" s="7">
        <v>0.13771553185885083</v>
      </c>
      <c r="O202" s="7">
        <v>0.59619952494061756</v>
      </c>
    </row>
    <row r="203" spans="1:15">
      <c r="A203" s="7" t="s">
        <v>82</v>
      </c>
      <c r="B203" s="7" t="s">
        <v>79</v>
      </c>
      <c r="C203" s="7" t="s">
        <v>58</v>
      </c>
      <c r="D203" s="7">
        <v>253</v>
      </c>
      <c r="E203" s="7">
        <v>82</v>
      </c>
      <c r="F203" s="7">
        <v>599</v>
      </c>
      <c r="G203" s="7">
        <v>47591.79</v>
      </c>
      <c r="H203" s="7">
        <v>42973.98</v>
      </c>
      <c r="I203" s="7">
        <v>4617.87</v>
      </c>
      <c r="J203" s="7">
        <v>8364.43</v>
      </c>
      <c r="K203" s="7">
        <v>99</v>
      </c>
      <c r="L203" s="7">
        <v>580.39</v>
      </c>
      <c r="M203" s="7">
        <v>524.07000000000005</v>
      </c>
      <c r="N203" s="7">
        <v>0.19463940738093144</v>
      </c>
      <c r="O203" s="7">
        <v>0.39130434782608697</v>
      </c>
    </row>
    <row r="204" spans="1:15">
      <c r="A204" s="7" t="s">
        <v>83</v>
      </c>
      <c r="B204" s="7" t="s">
        <v>2</v>
      </c>
      <c r="C204" s="7" t="s">
        <v>37</v>
      </c>
      <c r="D204" s="7">
        <v>121</v>
      </c>
      <c r="E204" s="7">
        <v>41</v>
      </c>
      <c r="F204" s="7">
        <v>255</v>
      </c>
      <c r="G204" s="7">
        <v>22606.92</v>
      </c>
      <c r="H204" s="7">
        <v>20231.28</v>
      </c>
      <c r="I204" s="7">
        <v>2375.67</v>
      </c>
      <c r="J204" s="7">
        <v>2957.45</v>
      </c>
      <c r="K204" s="7">
        <v>74</v>
      </c>
      <c r="L204" s="7">
        <v>551.39</v>
      </c>
      <c r="M204" s="7">
        <v>493.45</v>
      </c>
      <c r="N204" s="7">
        <v>0.14618205076495408</v>
      </c>
      <c r="O204" s="7">
        <v>0.61157024793388426</v>
      </c>
    </row>
    <row r="205" spans="1:15">
      <c r="A205" s="7" t="s">
        <v>83</v>
      </c>
      <c r="B205" s="7" t="s">
        <v>2</v>
      </c>
      <c r="C205" s="7" t="s">
        <v>39</v>
      </c>
      <c r="D205" s="7">
        <v>5134</v>
      </c>
      <c r="E205" s="7">
        <v>1725</v>
      </c>
      <c r="F205" s="7">
        <v>11203</v>
      </c>
      <c r="G205" s="7">
        <v>1024006.15</v>
      </c>
      <c r="H205" s="7">
        <v>920242.05</v>
      </c>
      <c r="I205" s="7">
        <v>103765.36</v>
      </c>
      <c r="J205" s="7">
        <v>110147.16</v>
      </c>
      <c r="K205" s="7">
        <v>2778</v>
      </c>
      <c r="L205" s="7">
        <v>593.63</v>
      </c>
      <c r="M205" s="7">
        <v>533.47</v>
      </c>
      <c r="N205" s="7">
        <v>0.11969368276531159</v>
      </c>
      <c r="O205" s="7">
        <v>0.54109855862874956</v>
      </c>
    </row>
    <row r="206" spans="1:15">
      <c r="A206" s="7" t="s">
        <v>83</v>
      </c>
      <c r="B206" s="7" t="s">
        <v>2</v>
      </c>
      <c r="C206" s="7" t="s">
        <v>40</v>
      </c>
      <c r="D206" s="7">
        <v>5299</v>
      </c>
      <c r="E206" s="7">
        <v>1763</v>
      </c>
      <c r="F206" s="7">
        <v>11800</v>
      </c>
      <c r="G206" s="7">
        <v>1038081.17</v>
      </c>
      <c r="H206" s="7">
        <v>932936.78</v>
      </c>
      <c r="I206" s="7">
        <v>105145.67</v>
      </c>
      <c r="J206" s="7">
        <v>115624.06</v>
      </c>
      <c r="K206" s="7">
        <v>2939</v>
      </c>
      <c r="L206" s="7">
        <v>588.82000000000005</v>
      </c>
      <c r="M206" s="7">
        <v>529.17999999999995</v>
      </c>
      <c r="N206" s="7">
        <v>0.12393557900032626</v>
      </c>
      <c r="O206" s="7">
        <v>0.55463294961313458</v>
      </c>
    </row>
    <row r="207" spans="1:15">
      <c r="A207" s="7" t="s">
        <v>83</v>
      </c>
      <c r="B207" s="7" t="s">
        <v>2</v>
      </c>
      <c r="C207" s="7" t="s">
        <v>41</v>
      </c>
      <c r="D207" s="7">
        <v>5273</v>
      </c>
      <c r="E207" s="7">
        <v>1762</v>
      </c>
      <c r="F207" s="7">
        <v>11612</v>
      </c>
      <c r="G207" s="7">
        <v>1029494.67</v>
      </c>
      <c r="H207" s="7">
        <v>925192.86</v>
      </c>
      <c r="I207" s="7">
        <v>104303.01</v>
      </c>
      <c r="J207" s="7">
        <v>117979.77</v>
      </c>
      <c r="K207" s="7">
        <v>2936</v>
      </c>
      <c r="L207" s="7">
        <v>584.28</v>
      </c>
      <c r="M207" s="7">
        <v>525.08000000000004</v>
      </c>
      <c r="N207" s="7">
        <v>0.12751910990752782</v>
      </c>
      <c r="O207" s="7">
        <v>0.55679878626967572</v>
      </c>
    </row>
    <row r="208" spans="1:15">
      <c r="A208" s="7" t="s">
        <v>83</v>
      </c>
      <c r="B208" s="7" t="s">
        <v>2</v>
      </c>
      <c r="C208" s="7" t="s">
        <v>42</v>
      </c>
      <c r="D208" s="7">
        <v>5140</v>
      </c>
      <c r="E208" s="7">
        <v>1706</v>
      </c>
      <c r="F208" s="7">
        <v>11366</v>
      </c>
      <c r="G208" s="7">
        <v>1018338.58</v>
      </c>
      <c r="H208" s="7">
        <v>914522.36</v>
      </c>
      <c r="I208" s="7">
        <v>103817.56</v>
      </c>
      <c r="J208" s="7">
        <v>113467.94</v>
      </c>
      <c r="K208" s="7">
        <v>2914</v>
      </c>
      <c r="L208" s="7">
        <v>596.91999999999996</v>
      </c>
      <c r="M208" s="7">
        <v>536.05999999999995</v>
      </c>
      <c r="N208" s="7">
        <v>0.12407344529006377</v>
      </c>
      <c r="O208" s="7">
        <v>0.56692607003891049</v>
      </c>
    </row>
    <row r="209" spans="1:15">
      <c r="A209" s="7" t="s">
        <v>83</v>
      </c>
      <c r="B209" s="7" t="s">
        <v>2</v>
      </c>
      <c r="C209" s="7" t="s">
        <v>43</v>
      </c>
      <c r="D209" s="7">
        <v>3947</v>
      </c>
      <c r="E209" s="7">
        <v>1318</v>
      </c>
      <c r="F209" s="7">
        <v>8765</v>
      </c>
      <c r="G209" s="7">
        <v>780877.85</v>
      </c>
      <c r="H209" s="7">
        <v>701536.77</v>
      </c>
      <c r="I209" s="7">
        <v>79341.990000000005</v>
      </c>
      <c r="J209" s="7">
        <v>74250.87</v>
      </c>
      <c r="K209" s="7">
        <v>2165</v>
      </c>
      <c r="L209" s="7">
        <v>592.47</v>
      </c>
      <c r="M209" s="7">
        <v>532.27</v>
      </c>
      <c r="N209" s="7">
        <v>0.10584031112153963</v>
      </c>
      <c r="O209" s="7">
        <v>0.54851786166708894</v>
      </c>
    </row>
    <row r="210" spans="1:15">
      <c r="A210" s="7" t="s">
        <v>83</v>
      </c>
      <c r="B210" s="7" t="s">
        <v>2</v>
      </c>
      <c r="C210" s="7" t="s">
        <v>53</v>
      </c>
      <c r="D210" s="7">
        <v>133</v>
      </c>
      <c r="E210" s="7">
        <v>40</v>
      </c>
      <c r="F210" s="7">
        <v>313</v>
      </c>
      <c r="G210" s="7">
        <v>27253.63</v>
      </c>
      <c r="H210" s="7">
        <v>24404.05</v>
      </c>
      <c r="I210" s="7">
        <v>2849.62</v>
      </c>
      <c r="J210" s="7">
        <v>1194.29</v>
      </c>
      <c r="K210" s="7">
        <v>57</v>
      </c>
      <c r="L210" s="7">
        <v>681.34</v>
      </c>
      <c r="M210" s="7">
        <v>610.1</v>
      </c>
      <c r="N210" s="7">
        <v>4.893818853837785E-2</v>
      </c>
      <c r="O210" s="7">
        <v>0.42857142857142855</v>
      </c>
    </row>
    <row r="211" spans="1:15">
      <c r="A211" s="7" t="s">
        <v>83</v>
      </c>
      <c r="B211" s="7" t="s">
        <v>2</v>
      </c>
      <c r="C211" s="7" t="s">
        <v>54</v>
      </c>
      <c r="D211" s="7">
        <v>850</v>
      </c>
      <c r="E211" s="7">
        <v>286</v>
      </c>
      <c r="F211" s="7">
        <v>1857</v>
      </c>
      <c r="G211" s="7">
        <v>163844.04</v>
      </c>
      <c r="H211" s="7">
        <v>147489.70000000001</v>
      </c>
      <c r="I211" s="7">
        <v>16354.56</v>
      </c>
      <c r="J211" s="7">
        <v>19897.61</v>
      </c>
      <c r="K211" s="7">
        <v>517</v>
      </c>
      <c r="L211" s="7">
        <v>572.88</v>
      </c>
      <c r="M211" s="7">
        <v>515.70000000000005</v>
      </c>
      <c r="N211" s="7">
        <v>0.13490847157462521</v>
      </c>
      <c r="O211" s="7">
        <v>0.6082352941176471</v>
      </c>
    </row>
    <row r="212" spans="1:15">
      <c r="A212" s="7" t="s">
        <v>83</v>
      </c>
      <c r="B212" s="7" t="s">
        <v>2</v>
      </c>
      <c r="C212" s="7" t="s">
        <v>55</v>
      </c>
      <c r="D212" s="7">
        <v>980</v>
      </c>
      <c r="E212" s="7">
        <v>312</v>
      </c>
      <c r="F212" s="7">
        <v>2221</v>
      </c>
      <c r="G212" s="7">
        <v>195124.2</v>
      </c>
      <c r="H212" s="7">
        <v>175139.8</v>
      </c>
      <c r="I212" s="7">
        <v>19984.71</v>
      </c>
      <c r="J212" s="7">
        <v>22052.32</v>
      </c>
      <c r="K212" s="7">
        <v>576</v>
      </c>
      <c r="L212" s="7">
        <v>625.4</v>
      </c>
      <c r="M212" s="7">
        <v>561.35</v>
      </c>
      <c r="N212" s="7">
        <v>0.12591267090632741</v>
      </c>
      <c r="O212" s="7">
        <v>0.58775510204081638</v>
      </c>
    </row>
    <row r="213" spans="1:15">
      <c r="A213" s="7" t="s">
        <v>83</v>
      </c>
      <c r="B213" s="7" t="s">
        <v>2</v>
      </c>
      <c r="C213" s="7" t="s">
        <v>56</v>
      </c>
      <c r="D213" s="7">
        <v>988</v>
      </c>
      <c r="E213" s="7">
        <v>323</v>
      </c>
      <c r="F213" s="7">
        <v>2212</v>
      </c>
      <c r="G213" s="7">
        <v>194659.65</v>
      </c>
      <c r="H213" s="7">
        <v>174581.39</v>
      </c>
      <c r="I213" s="7">
        <v>20078.509999999998</v>
      </c>
      <c r="J213" s="7">
        <v>18713.64</v>
      </c>
      <c r="K213" s="7">
        <v>521</v>
      </c>
      <c r="L213" s="7">
        <v>602.66</v>
      </c>
      <c r="M213" s="7">
        <v>540.5</v>
      </c>
      <c r="N213" s="7">
        <v>0.10719149389290576</v>
      </c>
      <c r="O213" s="7">
        <v>0.52732793522267207</v>
      </c>
    </row>
    <row r="214" spans="1:15">
      <c r="A214" s="7" t="s">
        <v>83</v>
      </c>
      <c r="B214" s="7" t="s">
        <v>2</v>
      </c>
      <c r="C214" s="7" t="s">
        <v>57</v>
      </c>
      <c r="D214" s="7">
        <v>921</v>
      </c>
      <c r="E214" s="7">
        <v>313</v>
      </c>
      <c r="F214" s="7">
        <v>2041</v>
      </c>
      <c r="G214" s="7">
        <v>180441.81</v>
      </c>
      <c r="H214" s="7">
        <v>162640.51</v>
      </c>
      <c r="I214" s="7">
        <v>17801.5</v>
      </c>
      <c r="J214" s="7">
        <v>18255.599999999999</v>
      </c>
      <c r="K214" s="7">
        <v>480</v>
      </c>
      <c r="L214" s="7">
        <v>576.49</v>
      </c>
      <c r="M214" s="7">
        <v>519.62</v>
      </c>
      <c r="N214" s="7">
        <v>0.11224509810009817</v>
      </c>
      <c r="O214" s="7">
        <v>0.52117263843648209</v>
      </c>
    </row>
    <row r="215" spans="1:15">
      <c r="A215" s="7" t="s">
        <v>83</v>
      </c>
      <c r="B215" s="7" t="s">
        <v>2</v>
      </c>
      <c r="C215" s="7" t="s">
        <v>58</v>
      </c>
      <c r="D215" s="7">
        <v>563</v>
      </c>
      <c r="E215" s="7">
        <v>188</v>
      </c>
      <c r="F215" s="7">
        <v>1258</v>
      </c>
      <c r="G215" s="7">
        <v>114012.87</v>
      </c>
      <c r="H215" s="7">
        <v>102391.28</v>
      </c>
      <c r="I215" s="7">
        <v>11621.73</v>
      </c>
      <c r="J215" s="7">
        <v>11721.14</v>
      </c>
      <c r="K215" s="7">
        <v>324</v>
      </c>
      <c r="L215" s="7">
        <v>606.45000000000005</v>
      </c>
      <c r="M215" s="7">
        <v>544.63</v>
      </c>
      <c r="N215" s="7">
        <v>0.11447400598957254</v>
      </c>
      <c r="O215" s="7">
        <v>0.57548845470692722</v>
      </c>
    </row>
    <row r="216" spans="1:15">
      <c r="A216" s="7" t="s">
        <v>83</v>
      </c>
      <c r="B216" s="7" t="s">
        <v>2</v>
      </c>
      <c r="C216" s="7" t="s">
        <v>63</v>
      </c>
      <c r="D216" s="7">
        <v>2154</v>
      </c>
      <c r="E216" s="7">
        <v>734</v>
      </c>
      <c r="F216" s="7">
        <v>4475</v>
      </c>
      <c r="G216" s="7">
        <v>450552.06</v>
      </c>
      <c r="H216" s="7">
        <v>404611.11</v>
      </c>
      <c r="I216" s="7">
        <v>45941.440000000002</v>
      </c>
      <c r="J216" s="7">
        <v>43381.99</v>
      </c>
      <c r="K216" s="7">
        <v>1151</v>
      </c>
      <c r="L216" s="7">
        <v>613.83000000000004</v>
      </c>
      <c r="M216" s="7">
        <v>551.24</v>
      </c>
      <c r="N216" s="7">
        <v>0.10721897873738563</v>
      </c>
      <c r="O216" s="7">
        <v>0.53435468895078919</v>
      </c>
    </row>
    <row r="217" spans="1:15">
      <c r="A217" s="7" t="s">
        <v>83</v>
      </c>
      <c r="B217" s="7" t="s">
        <v>2</v>
      </c>
      <c r="C217" s="7" t="s">
        <v>64</v>
      </c>
      <c r="D217" s="7">
        <v>5318</v>
      </c>
      <c r="E217" s="7">
        <v>1776</v>
      </c>
      <c r="F217" s="7">
        <v>11091</v>
      </c>
      <c r="G217" s="7">
        <v>1104373.3400000001</v>
      </c>
      <c r="H217" s="7">
        <v>992423.42</v>
      </c>
      <c r="I217" s="7">
        <v>111951.16</v>
      </c>
      <c r="J217" s="7">
        <v>113026.7</v>
      </c>
      <c r="K217" s="7">
        <v>2913</v>
      </c>
      <c r="L217" s="7">
        <v>621.83000000000004</v>
      </c>
      <c r="M217" s="7">
        <v>558.79999999999995</v>
      </c>
      <c r="N217" s="7">
        <v>0.11388959361720825</v>
      </c>
      <c r="O217" s="7">
        <v>0.54776231666039865</v>
      </c>
    </row>
    <row r="218" spans="1:15">
      <c r="A218" s="7" t="s">
        <v>83</v>
      </c>
      <c r="B218" s="7" t="s">
        <v>2</v>
      </c>
      <c r="C218" s="7" t="s">
        <v>65</v>
      </c>
      <c r="D218" s="7">
        <v>5305</v>
      </c>
      <c r="E218" s="7">
        <v>1768</v>
      </c>
      <c r="F218" s="7">
        <v>11095</v>
      </c>
      <c r="G218" s="7">
        <v>1109337.1499999999</v>
      </c>
      <c r="H218" s="7">
        <v>996507.87</v>
      </c>
      <c r="I218" s="7">
        <v>112830.56</v>
      </c>
      <c r="J218" s="7">
        <v>131501.16</v>
      </c>
      <c r="K218" s="7">
        <v>2994</v>
      </c>
      <c r="L218" s="7">
        <v>627.45000000000005</v>
      </c>
      <c r="M218" s="7">
        <v>563.64</v>
      </c>
      <c r="N218" s="7">
        <v>0.13196198841861631</v>
      </c>
      <c r="O218" s="7">
        <v>0.56437323279924601</v>
      </c>
    </row>
    <row r="219" spans="1:15">
      <c r="A219" s="7" t="s">
        <v>83</v>
      </c>
      <c r="B219" s="7" t="s">
        <v>2</v>
      </c>
      <c r="C219" s="7" t="s">
        <v>66</v>
      </c>
      <c r="D219" s="7">
        <v>5189</v>
      </c>
      <c r="E219" s="7">
        <v>1723</v>
      </c>
      <c r="F219" s="7">
        <v>10502</v>
      </c>
      <c r="G219" s="7">
        <v>1143775.0900000001</v>
      </c>
      <c r="H219" s="7">
        <v>1027111.72</v>
      </c>
      <c r="I219" s="7">
        <v>116664.51</v>
      </c>
      <c r="J219" s="7">
        <v>122462.39</v>
      </c>
      <c r="K219" s="7">
        <v>2814</v>
      </c>
      <c r="L219" s="7">
        <v>663.83</v>
      </c>
      <c r="M219" s="7">
        <v>596.12</v>
      </c>
      <c r="N219" s="7">
        <v>0.11922986332976514</v>
      </c>
      <c r="O219" s="7">
        <v>0.5423010213914049</v>
      </c>
    </row>
    <row r="220" spans="1:15">
      <c r="A220" s="7" t="s">
        <v>83</v>
      </c>
      <c r="B220" s="7" t="s">
        <v>2</v>
      </c>
      <c r="C220" s="7" t="s">
        <v>67</v>
      </c>
      <c r="D220" s="7">
        <v>2255</v>
      </c>
      <c r="E220" s="7">
        <v>2101</v>
      </c>
      <c r="F220" s="7">
        <v>2490</v>
      </c>
      <c r="G220" s="7">
        <v>1073994.1599999999</v>
      </c>
      <c r="H220" s="7">
        <v>966081.41</v>
      </c>
      <c r="I220" s="7">
        <v>107913.68</v>
      </c>
      <c r="J220" s="7">
        <v>113447.17</v>
      </c>
      <c r="K220" s="7">
        <v>1210</v>
      </c>
      <c r="L220" s="7">
        <v>511.18</v>
      </c>
      <c r="M220" s="7">
        <v>459.82</v>
      </c>
      <c r="N220" s="7">
        <v>0.11743023809970632</v>
      </c>
      <c r="O220" s="7">
        <v>0.53658536585365857</v>
      </c>
    </row>
    <row r="221" spans="1:15">
      <c r="A221" s="7" t="s">
        <v>83</v>
      </c>
      <c r="B221" s="7" t="s">
        <v>2</v>
      </c>
      <c r="C221" s="7" t="s">
        <v>68</v>
      </c>
      <c r="D221" s="7">
        <v>682</v>
      </c>
      <c r="E221" s="7">
        <v>682</v>
      </c>
      <c r="F221" s="7">
        <v>682</v>
      </c>
      <c r="G221" s="7">
        <v>201623.26</v>
      </c>
      <c r="H221" s="7">
        <v>181153.87</v>
      </c>
      <c r="I221" s="7">
        <v>20469.509999999998</v>
      </c>
      <c r="J221" s="7">
        <v>19361.7</v>
      </c>
      <c r="K221" s="7">
        <v>380</v>
      </c>
      <c r="L221" s="7">
        <v>295.64</v>
      </c>
      <c r="M221" s="7">
        <v>265.62</v>
      </c>
      <c r="N221" s="7">
        <v>0.10687985854235409</v>
      </c>
      <c r="O221" s="7">
        <v>0.55718475073313778</v>
      </c>
    </row>
    <row r="222" spans="1:15">
      <c r="A222" s="7" t="s">
        <v>83</v>
      </c>
      <c r="B222" s="7" t="s">
        <v>77</v>
      </c>
      <c r="C222" s="7" t="s">
        <v>37</v>
      </c>
      <c r="D222" s="7">
        <v>60</v>
      </c>
      <c r="E222" s="7">
        <v>23</v>
      </c>
      <c r="F222" s="7">
        <v>121</v>
      </c>
      <c r="G222" s="7">
        <v>10883.52</v>
      </c>
      <c r="H222" s="7">
        <v>9863.1299999999992</v>
      </c>
      <c r="I222" s="7">
        <v>1020.4</v>
      </c>
      <c r="J222" s="7">
        <v>1695.12</v>
      </c>
      <c r="K222" s="7">
        <v>33</v>
      </c>
      <c r="L222" s="7">
        <v>473.2</v>
      </c>
      <c r="M222" s="7">
        <v>428.83</v>
      </c>
      <c r="N222" s="7">
        <v>0.17186430676671602</v>
      </c>
      <c r="O222" s="7">
        <v>0.55000000000000004</v>
      </c>
    </row>
    <row r="223" spans="1:15">
      <c r="A223" s="7" t="s">
        <v>83</v>
      </c>
      <c r="B223" s="7" t="s">
        <v>77</v>
      </c>
      <c r="C223" s="7" t="s">
        <v>39</v>
      </c>
      <c r="D223" s="7">
        <v>2670</v>
      </c>
      <c r="E223" s="7">
        <v>890</v>
      </c>
      <c r="F223" s="7">
        <v>5907</v>
      </c>
      <c r="G223" s="7">
        <v>535247.82999999996</v>
      </c>
      <c r="H223" s="7">
        <v>479756.89</v>
      </c>
      <c r="I223" s="7">
        <v>55491.63</v>
      </c>
      <c r="J223" s="7">
        <v>60763.22</v>
      </c>
      <c r="K223" s="7">
        <v>1527</v>
      </c>
      <c r="L223" s="7">
        <v>601.4</v>
      </c>
      <c r="M223" s="7">
        <v>539.04999999999995</v>
      </c>
      <c r="N223" s="7">
        <v>0.12665418937495612</v>
      </c>
      <c r="O223" s="7">
        <v>0.57191011235955058</v>
      </c>
    </row>
    <row r="224" spans="1:15">
      <c r="A224" s="7" t="s">
        <v>83</v>
      </c>
      <c r="B224" s="7" t="s">
        <v>77</v>
      </c>
      <c r="C224" s="7" t="s">
        <v>40</v>
      </c>
      <c r="D224" s="7">
        <v>2688</v>
      </c>
      <c r="E224" s="7">
        <v>899</v>
      </c>
      <c r="F224" s="7">
        <v>5945</v>
      </c>
      <c r="G224" s="7">
        <v>527297.43000000005</v>
      </c>
      <c r="H224" s="7">
        <v>474008.13</v>
      </c>
      <c r="I224" s="7">
        <v>53289.919999999998</v>
      </c>
      <c r="J224" s="7">
        <v>61223.24</v>
      </c>
      <c r="K224" s="7">
        <v>1452</v>
      </c>
      <c r="L224" s="7">
        <v>586.54</v>
      </c>
      <c r="M224" s="7">
        <v>527.26</v>
      </c>
      <c r="N224" s="7">
        <v>0.12916073823459526</v>
      </c>
      <c r="O224" s="7">
        <v>0.5401785714285714</v>
      </c>
    </row>
    <row r="225" spans="1:15">
      <c r="A225" s="7" t="s">
        <v>83</v>
      </c>
      <c r="B225" s="7" t="s">
        <v>77</v>
      </c>
      <c r="C225" s="7" t="s">
        <v>41</v>
      </c>
      <c r="D225" s="7">
        <v>2709</v>
      </c>
      <c r="E225" s="7">
        <v>893</v>
      </c>
      <c r="F225" s="7">
        <v>6081</v>
      </c>
      <c r="G225" s="7">
        <v>530694.29</v>
      </c>
      <c r="H225" s="7">
        <v>476855.15</v>
      </c>
      <c r="I225" s="7">
        <v>53839.72</v>
      </c>
      <c r="J225" s="7">
        <v>56663.4</v>
      </c>
      <c r="K225" s="7">
        <v>1483</v>
      </c>
      <c r="L225" s="7">
        <v>594.28</v>
      </c>
      <c r="M225" s="7">
        <v>533.99</v>
      </c>
      <c r="N225" s="7">
        <v>0.11882727910142105</v>
      </c>
      <c r="O225" s="7">
        <v>0.54743447766703579</v>
      </c>
    </row>
    <row r="226" spans="1:15">
      <c r="A226" s="7" t="s">
        <v>83</v>
      </c>
      <c r="B226" s="7" t="s">
        <v>77</v>
      </c>
      <c r="C226" s="7" t="s">
        <v>42</v>
      </c>
      <c r="D226" s="7">
        <v>2709</v>
      </c>
      <c r="E226" s="7">
        <v>901</v>
      </c>
      <c r="F226" s="7">
        <v>5971</v>
      </c>
      <c r="G226" s="7">
        <v>535371.13</v>
      </c>
      <c r="H226" s="7">
        <v>481417.61</v>
      </c>
      <c r="I226" s="7">
        <v>53954.21</v>
      </c>
      <c r="J226" s="7">
        <v>68083.11</v>
      </c>
      <c r="K226" s="7">
        <v>1574</v>
      </c>
      <c r="L226" s="7">
        <v>594.20000000000005</v>
      </c>
      <c r="M226" s="7">
        <v>534.30999999999995</v>
      </c>
      <c r="N226" s="7">
        <v>0.14142214282522819</v>
      </c>
      <c r="O226" s="7">
        <v>0.58102620893318568</v>
      </c>
    </row>
    <row r="227" spans="1:15">
      <c r="A227" s="7" t="s">
        <v>83</v>
      </c>
      <c r="B227" s="7" t="s">
        <v>77</v>
      </c>
      <c r="C227" s="7" t="s">
        <v>43</v>
      </c>
      <c r="D227" s="7">
        <v>1979</v>
      </c>
      <c r="E227" s="7">
        <v>665</v>
      </c>
      <c r="F227" s="7">
        <v>4407</v>
      </c>
      <c r="G227" s="7">
        <v>392735.09</v>
      </c>
      <c r="H227" s="7">
        <v>352442.02</v>
      </c>
      <c r="I227" s="7">
        <v>40293.54</v>
      </c>
      <c r="J227" s="7">
        <v>31251.16</v>
      </c>
      <c r="K227" s="7">
        <v>1110</v>
      </c>
      <c r="L227" s="7">
        <v>590.58000000000004</v>
      </c>
      <c r="M227" s="7">
        <v>529.99</v>
      </c>
      <c r="N227" s="7">
        <v>8.867035775132602E-2</v>
      </c>
      <c r="O227" s="7">
        <v>0.56088933804952001</v>
      </c>
    </row>
    <row r="228" spans="1:15">
      <c r="A228" s="7" t="s">
        <v>83</v>
      </c>
      <c r="B228" s="7" t="s">
        <v>77</v>
      </c>
      <c r="C228" s="7" t="s">
        <v>53</v>
      </c>
      <c r="D228" s="7">
        <v>77</v>
      </c>
      <c r="E228" s="7">
        <v>24</v>
      </c>
      <c r="F228" s="7">
        <v>193</v>
      </c>
      <c r="G228" s="7">
        <v>15537.03</v>
      </c>
      <c r="H228" s="7">
        <v>13886.58</v>
      </c>
      <c r="I228" s="7">
        <v>1650.48</v>
      </c>
      <c r="J228" s="7">
        <v>526.99</v>
      </c>
      <c r="K228" s="7">
        <v>37</v>
      </c>
      <c r="L228" s="7">
        <v>647.38</v>
      </c>
      <c r="M228" s="7">
        <v>578.61</v>
      </c>
      <c r="N228" s="7">
        <v>3.7949588739632077E-2</v>
      </c>
      <c r="O228" s="7">
        <v>0.48051948051948051</v>
      </c>
    </row>
    <row r="229" spans="1:15">
      <c r="A229" s="7" t="s">
        <v>83</v>
      </c>
      <c r="B229" s="7" t="s">
        <v>77</v>
      </c>
      <c r="C229" s="7" t="s">
        <v>54</v>
      </c>
      <c r="D229" s="7">
        <v>456</v>
      </c>
      <c r="E229" s="7">
        <v>148</v>
      </c>
      <c r="F229" s="7">
        <v>996</v>
      </c>
      <c r="G229" s="7">
        <v>87579.21</v>
      </c>
      <c r="H229" s="7">
        <v>79056.97</v>
      </c>
      <c r="I229" s="7">
        <v>8522.34</v>
      </c>
      <c r="J229" s="7">
        <v>10201.07</v>
      </c>
      <c r="K229" s="7">
        <v>270</v>
      </c>
      <c r="L229" s="7">
        <v>591.75</v>
      </c>
      <c r="M229" s="7">
        <v>534.16999999999996</v>
      </c>
      <c r="N229" s="7">
        <v>0.12903441657326356</v>
      </c>
      <c r="O229" s="7">
        <v>0.59210526315789469</v>
      </c>
    </row>
    <row r="230" spans="1:15">
      <c r="A230" s="7" t="s">
        <v>83</v>
      </c>
      <c r="B230" s="7" t="s">
        <v>77</v>
      </c>
      <c r="C230" s="7" t="s">
        <v>55</v>
      </c>
      <c r="D230" s="7">
        <v>563</v>
      </c>
      <c r="E230" s="7">
        <v>176</v>
      </c>
      <c r="F230" s="7">
        <v>1254</v>
      </c>
      <c r="G230" s="7">
        <v>113362.05</v>
      </c>
      <c r="H230" s="7">
        <v>101751.99</v>
      </c>
      <c r="I230" s="7">
        <v>11610.21</v>
      </c>
      <c r="J230" s="7">
        <v>12479.49</v>
      </c>
      <c r="K230" s="7">
        <v>338</v>
      </c>
      <c r="L230" s="7">
        <v>644.1</v>
      </c>
      <c r="M230" s="7">
        <v>578.14</v>
      </c>
      <c r="N230" s="7">
        <v>0.12264615168705791</v>
      </c>
      <c r="O230" s="7">
        <v>0.60035523978685612</v>
      </c>
    </row>
    <row r="231" spans="1:15">
      <c r="A231" s="7" t="s">
        <v>83</v>
      </c>
      <c r="B231" s="7" t="s">
        <v>77</v>
      </c>
      <c r="C231" s="7" t="s">
        <v>56</v>
      </c>
      <c r="D231" s="7">
        <v>513</v>
      </c>
      <c r="E231" s="7">
        <v>168</v>
      </c>
      <c r="F231" s="7">
        <v>1156</v>
      </c>
      <c r="G231" s="7">
        <v>102442.63</v>
      </c>
      <c r="H231" s="7">
        <v>91632.98</v>
      </c>
      <c r="I231" s="7">
        <v>10809.77</v>
      </c>
      <c r="J231" s="7">
        <v>12266.75</v>
      </c>
      <c r="K231" s="7">
        <v>260</v>
      </c>
      <c r="L231" s="7">
        <v>609.78</v>
      </c>
      <c r="M231" s="7">
        <v>545.42999999999995</v>
      </c>
      <c r="N231" s="7">
        <v>0.13386828628731709</v>
      </c>
      <c r="O231" s="7">
        <v>0.50682261208576995</v>
      </c>
    </row>
    <row r="232" spans="1:15">
      <c r="A232" s="7" t="s">
        <v>83</v>
      </c>
      <c r="B232" s="7" t="s">
        <v>77</v>
      </c>
      <c r="C232" s="7" t="s">
        <v>57</v>
      </c>
      <c r="D232" s="7">
        <v>503</v>
      </c>
      <c r="E232" s="7">
        <v>173</v>
      </c>
      <c r="F232" s="7">
        <v>1140</v>
      </c>
      <c r="G232" s="7">
        <v>100401.61</v>
      </c>
      <c r="H232" s="7">
        <v>90842.94</v>
      </c>
      <c r="I232" s="7">
        <v>9558.7800000000007</v>
      </c>
      <c r="J232" s="7">
        <v>9742.52</v>
      </c>
      <c r="K232" s="7">
        <v>263</v>
      </c>
      <c r="L232" s="7">
        <v>580.36</v>
      </c>
      <c r="M232" s="7">
        <v>525.1</v>
      </c>
      <c r="N232" s="7">
        <v>0.1072457584485927</v>
      </c>
      <c r="O232" s="7">
        <v>0.52286282306163023</v>
      </c>
    </row>
    <row r="233" spans="1:15">
      <c r="A233" s="7" t="s">
        <v>83</v>
      </c>
      <c r="B233" s="7" t="s">
        <v>77</v>
      </c>
      <c r="C233" s="7" t="s">
        <v>58</v>
      </c>
      <c r="D233" s="7">
        <v>272</v>
      </c>
      <c r="E233" s="7">
        <v>93</v>
      </c>
      <c r="F233" s="7">
        <v>618</v>
      </c>
      <c r="G233" s="7">
        <v>55122.58</v>
      </c>
      <c r="H233" s="7">
        <v>49426.74</v>
      </c>
      <c r="I233" s="7">
        <v>5695.91</v>
      </c>
      <c r="J233" s="7">
        <v>5220.28</v>
      </c>
      <c r="K233" s="7">
        <v>162</v>
      </c>
      <c r="L233" s="7">
        <v>592.72</v>
      </c>
      <c r="M233" s="7">
        <v>531.47</v>
      </c>
      <c r="N233" s="7">
        <v>0.10561651446160519</v>
      </c>
      <c r="O233" s="7">
        <v>0.59558823529411764</v>
      </c>
    </row>
    <row r="234" spans="1:15">
      <c r="A234" s="7" t="s">
        <v>83</v>
      </c>
      <c r="B234" s="7" t="s">
        <v>77</v>
      </c>
      <c r="C234" s="7" t="s">
        <v>63</v>
      </c>
      <c r="D234" s="7">
        <v>1054</v>
      </c>
      <c r="E234" s="7">
        <v>368</v>
      </c>
      <c r="F234" s="7">
        <v>2141</v>
      </c>
      <c r="G234" s="7">
        <v>217457.37</v>
      </c>
      <c r="H234" s="7">
        <v>195823.17</v>
      </c>
      <c r="I234" s="7">
        <v>21634.44</v>
      </c>
      <c r="J234" s="7">
        <v>24841.69</v>
      </c>
      <c r="K234" s="7">
        <v>548</v>
      </c>
      <c r="L234" s="7">
        <v>590.91999999999996</v>
      </c>
      <c r="M234" s="7">
        <v>532.13</v>
      </c>
      <c r="N234" s="7">
        <v>0.12685776662690118</v>
      </c>
      <c r="O234" s="7">
        <v>0.51992409867172673</v>
      </c>
    </row>
    <row r="235" spans="1:15">
      <c r="A235" s="7" t="s">
        <v>83</v>
      </c>
      <c r="B235" s="7" t="s">
        <v>77</v>
      </c>
      <c r="C235" s="7" t="s">
        <v>64</v>
      </c>
      <c r="D235" s="7">
        <v>2817</v>
      </c>
      <c r="E235" s="7">
        <v>938</v>
      </c>
      <c r="F235" s="7">
        <v>5923</v>
      </c>
      <c r="G235" s="7">
        <v>589456.71</v>
      </c>
      <c r="H235" s="7">
        <v>528720.74</v>
      </c>
      <c r="I235" s="7">
        <v>60736.59</v>
      </c>
      <c r="J235" s="7">
        <v>61960.73</v>
      </c>
      <c r="K235" s="7">
        <v>1582</v>
      </c>
      <c r="L235" s="7">
        <v>628.41999999999996</v>
      </c>
      <c r="M235" s="7">
        <v>563.66999999999996</v>
      </c>
      <c r="N235" s="7">
        <v>0.11718989877340541</v>
      </c>
      <c r="O235" s="7">
        <v>0.56159034433794819</v>
      </c>
    </row>
    <row r="236" spans="1:15">
      <c r="A236" s="7" t="s">
        <v>83</v>
      </c>
      <c r="B236" s="7" t="s">
        <v>77</v>
      </c>
      <c r="C236" s="7" t="s">
        <v>65</v>
      </c>
      <c r="D236" s="7">
        <v>2849</v>
      </c>
      <c r="E236" s="7">
        <v>939</v>
      </c>
      <c r="F236" s="7">
        <v>5884</v>
      </c>
      <c r="G236" s="7">
        <v>592000.24</v>
      </c>
      <c r="H236" s="7">
        <v>532142.34</v>
      </c>
      <c r="I236" s="7">
        <v>59858.59</v>
      </c>
      <c r="J236" s="7">
        <v>71638.58</v>
      </c>
      <c r="K236" s="7">
        <v>1619</v>
      </c>
      <c r="L236" s="7">
        <v>630.46</v>
      </c>
      <c r="M236" s="7">
        <v>566.71</v>
      </c>
      <c r="N236" s="7">
        <v>0.13462296572755328</v>
      </c>
      <c r="O236" s="7">
        <v>0.56826956826956831</v>
      </c>
    </row>
    <row r="237" spans="1:15">
      <c r="A237" s="7" t="s">
        <v>83</v>
      </c>
      <c r="B237" s="7" t="s">
        <v>77</v>
      </c>
      <c r="C237" s="7" t="s">
        <v>66</v>
      </c>
      <c r="D237" s="7">
        <v>2651</v>
      </c>
      <c r="E237" s="7">
        <v>881</v>
      </c>
      <c r="F237" s="7">
        <v>5478</v>
      </c>
      <c r="G237" s="7">
        <v>588507.69999999995</v>
      </c>
      <c r="H237" s="7">
        <v>529596.54</v>
      </c>
      <c r="I237" s="7">
        <v>58911.7</v>
      </c>
      <c r="J237" s="7">
        <v>61074.84</v>
      </c>
      <c r="K237" s="7">
        <v>1412</v>
      </c>
      <c r="L237" s="7">
        <v>668</v>
      </c>
      <c r="M237" s="7">
        <v>601.13</v>
      </c>
      <c r="N237" s="7">
        <v>0.11532333651575592</v>
      </c>
      <c r="O237" s="7">
        <v>0.53262919652961149</v>
      </c>
    </row>
    <row r="238" spans="1:15">
      <c r="A238" s="7" t="s">
        <v>83</v>
      </c>
      <c r="B238" s="7" t="s">
        <v>77</v>
      </c>
      <c r="C238" s="7" t="s">
        <v>67</v>
      </c>
      <c r="D238" s="7">
        <v>1153</v>
      </c>
      <c r="E238" s="7">
        <v>1075</v>
      </c>
      <c r="F238" s="7">
        <v>1269</v>
      </c>
      <c r="G238" s="7">
        <v>562802.93000000005</v>
      </c>
      <c r="H238" s="7">
        <v>507711.61</v>
      </c>
      <c r="I238" s="7">
        <v>55091.839999999997</v>
      </c>
      <c r="J238" s="7">
        <v>67161.679999999993</v>
      </c>
      <c r="K238" s="7">
        <v>640</v>
      </c>
      <c r="L238" s="7">
        <v>523.54</v>
      </c>
      <c r="M238" s="7">
        <v>472.29</v>
      </c>
      <c r="N238" s="7">
        <v>0.13228312821130878</v>
      </c>
      <c r="O238" s="7">
        <v>0.55507372072853423</v>
      </c>
    </row>
    <row r="239" spans="1:15">
      <c r="A239" s="7" t="s">
        <v>83</v>
      </c>
      <c r="B239" s="7" t="s">
        <v>77</v>
      </c>
      <c r="C239" s="7" t="s">
        <v>68</v>
      </c>
      <c r="D239" s="7">
        <v>385</v>
      </c>
      <c r="E239" s="7">
        <v>385</v>
      </c>
      <c r="F239" s="7">
        <v>385</v>
      </c>
      <c r="G239" s="7">
        <v>114665.9</v>
      </c>
      <c r="H239" s="7">
        <v>102773.45</v>
      </c>
      <c r="I239" s="7">
        <v>11892.51</v>
      </c>
      <c r="J239" s="7">
        <v>10305.129999999999</v>
      </c>
      <c r="K239" s="7">
        <v>217</v>
      </c>
      <c r="L239" s="7">
        <v>297.83</v>
      </c>
      <c r="M239" s="7">
        <v>266.94</v>
      </c>
      <c r="N239" s="7">
        <v>0.10027035192454863</v>
      </c>
      <c r="O239" s="7">
        <v>0.5636363636363636</v>
      </c>
    </row>
    <row r="240" spans="1:15">
      <c r="A240" s="7" t="s">
        <v>83</v>
      </c>
      <c r="B240" s="7" t="s">
        <v>78</v>
      </c>
      <c r="C240" s="7" t="s">
        <v>37</v>
      </c>
      <c r="D240" s="7">
        <v>46</v>
      </c>
      <c r="E240" s="7">
        <v>13</v>
      </c>
      <c r="F240" s="7">
        <v>106</v>
      </c>
      <c r="G240" s="7">
        <v>8908.7800000000007</v>
      </c>
      <c r="H240" s="7">
        <v>7862.51</v>
      </c>
      <c r="I240" s="7">
        <v>1046.29</v>
      </c>
      <c r="J240" s="7">
        <v>1620.43</v>
      </c>
      <c r="K240" s="7">
        <v>34</v>
      </c>
      <c r="L240" s="7">
        <v>685.29</v>
      </c>
      <c r="M240" s="7">
        <v>604.80999999999995</v>
      </c>
      <c r="N240" s="7">
        <v>0.20609576331222473</v>
      </c>
      <c r="O240" s="7">
        <v>0.73913043478260865</v>
      </c>
    </row>
    <row r="241" spans="1:15">
      <c r="A241" s="7" t="s">
        <v>83</v>
      </c>
      <c r="B241" s="7" t="s">
        <v>78</v>
      </c>
      <c r="C241" s="7" t="s">
        <v>39</v>
      </c>
      <c r="D241" s="7">
        <v>1559</v>
      </c>
      <c r="E241" s="7">
        <v>522</v>
      </c>
      <c r="F241" s="7">
        <v>3352</v>
      </c>
      <c r="G241" s="7">
        <v>313304.13</v>
      </c>
      <c r="H241" s="7">
        <v>281780.59000000003</v>
      </c>
      <c r="I241" s="7">
        <v>31523.87</v>
      </c>
      <c r="J241" s="7">
        <v>32140.53</v>
      </c>
      <c r="K241" s="7">
        <v>769</v>
      </c>
      <c r="L241" s="7">
        <v>600.20000000000005</v>
      </c>
      <c r="M241" s="7">
        <v>539.80999999999995</v>
      </c>
      <c r="N241" s="7">
        <v>0.11406225673670424</v>
      </c>
      <c r="O241" s="7">
        <v>0.49326491340602951</v>
      </c>
    </row>
    <row r="242" spans="1:15">
      <c r="A242" s="7" t="s">
        <v>83</v>
      </c>
      <c r="B242" s="7" t="s">
        <v>78</v>
      </c>
      <c r="C242" s="7" t="s">
        <v>40</v>
      </c>
      <c r="D242" s="7">
        <v>1668</v>
      </c>
      <c r="E242" s="7">
        <v>551</v>
      </c>
      <c r="F242" s="7">
        <v>3725</v>
      </c>
      <c r="G242" s="7">
        <v>330451.75</v>
      </c>
      <c r="H242" s="7">
        <v>297649.56</v>
      </c>
      <c r="I242" s="7">
        <v>32802.550000000003</v>
      </c>
      <c r="J242" s="7">
        <v>38642.239999999998</v>
      </c>
      <c r="K242" s="7">
        <v>950</v>
      </c>
      <c r="L242" s="7">
        <v>599.73</v>
      </c>
      <c r="M242" s="7">
        <v>540.20000000000005</v>
      </c>
      <c r="N242" s="7">
        <v>0.12982461657258959</v>
      </c>
      <c r="O242" s="7">
        <v>0.5695443645083933</v>
      </c>
    </row>
    <row r="243" spans="1:15">
      <c r="A243" s="7" t="s">
        <v>83</v>
      </c>
      <c r="B243" s="7" t="s">
        <v>78</v>
      </c>
      <c r="C243" s="7" t="s">
        <v>41</v>
      </c>
      <c r="D243" s="7">
        <v>1651</v>
      </c>
      <c r="E243" s="7">
        <v>551</v>
      </c>
      <c r="F243" s="7">
        <v>3583</v>
      </c>
      <c r="G243" s="7">
        <v>322081.07</v>
      </c>
      <c r="H243" s="7">
        <v>289370.15000000002</v>
      </c>
      <c r="I243" s="7">
        <v>32711.33</v>
      </c>
      <c r="J243" s="7">
        <v>44385.42</v>
      </c>
      <c r="K243" s="7">
        <v>949</v>
      </c>
      <c r="L243" s="7">
        <v>584.54</v>
      </c>
      <c r="M243" s="7">
        <v>525.16999999999996</v>
      </c>
      <c r="N243" s="7">
        <v>0.15338631161507155</v>
      </c>
      <c r="O243" s="7">
        <v>0.57480314960629919</v>
      </c>
    </row>
    <row r="244" spans="1:15">
      <c r="A244" s="7" t="s">
        <v>83</v>
      </c>
      <c r="B244" s="7" t="s">
        <v>78</v>
      </c>
      <c r="C244" s="7" t="s">
        <v>42</v>
      </c>
      <c r="D244" s="7">
        <v>1541</v>
      </c>
      <c r="E244" s="7">
        <v>506</v>
      </c>
      <c r="F244" s="7">
        <v>3402</v>
      </c>
      <c r="G244" s="7">
        <v>306729.01</v>
      </c>
      <c r="H244" s="7">
        <v>276123.44</v>
      </c>
      <c r="I244" s="7">
        <v>30605.88</v>
      </c>
      <c r="J244" s="7">
        <v>26945.32</v>
      </c>
      <c r="K244" s="7">
        <v>832</v>
      </c>
      <c r="L244" s="7">
        <v>606.17999999999995</v>
      </c>
      <c r="M244" s="7">
        <v>545.70000000000005</v>
      </c>
      <c r="N244" s="7">
        <v>9.7584326777907737E-2</v>
      </c>
      <c r="O244" s="7">
        <v>0.53990914990266059</v>
      </c>
    </row>
    <row r="245" spans="1:15">
      <c r="A245" s="7" t="s">
        <v>83</v>
      </c>
      <c r="B245" s="7" t="s">
        <v>78</v>
      </c>
      <c r="C245" s="7" t="s">
        <v>43</v>
      </c>
      <c r="D245" s="7">
        <v>1248</v>
      </c>
      <c r="E245" s="7">
        <v>411</v>
      </c>
      <c r="F245" s="7">
        <v>2758</v>
      </c>
      <c r="G245" s="7">
        <v>245989.45</v>
      </c>
      <c r="H245" s="7">
        <v>221293.19</v>
      </c>
      <c r="I245" s="7">
        <v>24696.55</v>
      </c>
      <c r="J245" s="7">
        <v>26363.040000000001</v>
      </c>
      <c r="K245" s="7">
        <v>643</v>
      </c>
      <c r="L245" s="7">
        <v>598.51</v>
      </c>
      <c r="M245" s="7">
        <v>538.42999999999995</v>
      </c>
      <c r="N245" s="7">
        <v>0.11913172746075015</v>
      </c>
      <c r="O245" s="7">
        <v>0.51522435897435892</v>
      </c>
    </row>
    <row r="246" spans="1:15">
      <c r="A246" s="7" t="s">
        <v>83</v>
      </c>
      <c r="B246" s="7" t="s">
        <v>78</v>
      </c>
      <c r="C246" s="7" t="s">
        <v>53</v>
      </c>
      <c r="D246" s="7">
        <v>41</v>
      </c>
      <c r="E246" s="7">
        <v>12</v>
      </c>
      <c r="F246" s="7">
        <v>93</v>
      </c>
      <c r="G246" s="7">
        <v>8676.91</v>
      </c>
      <c r="H246" s="7">
        <v>7855.91</v>
      </c>
      <c r="I246" s="7">
        <v>821.01</v>
      </c>
      <c r="J246" s="7">
        <v>695.03</v>
      </c>
      <c r="K246" s="7">
        <v>9</v>
      </c>
      <c r="L246" s="7">
        <v>723.08</v>
      </c>
      <c r="M246" s="7">
        <v>654.66</v>
      </c>
      <c r="N246" s="7">
        <v>8.8472245736012756E-2</v>
      </c>
      <c r="O246" s="7">
        <v>0.21951219512195122</v>
      </c>
    </row>
    <row r="247" spans="1:15">
      <c r="A247" s="7" t="s">
        <v>83</v>
      </c>
      <c r="B247" s="7" t="s">
        <v>78</v>
      </c>
      <c r="C247" s="7" t="s">
        <v>54</v>
      </c>
      <c r="D247" s="7">
        <v>230</v>
      </c>
      <c r="E247" s="7">
        <v>81</v>
      </c>
      <c r="F247" s="7">
        <v>502</v>
      </c>
      <c r="G247" s="7">
        <v>45075.53</v>
      </c>
      <c r="H247" s="7">
        <v>40360.449999999997</v>
      </c>
      <c r="I247" s="7">
        <v>4715.17</v>
      </c>
      <c r="J247" s="7">
        <v>6872.24</v>
      </c>
      <c r="K247" s="7">
        <v>145</v>
      </c>
      <c r="L247" s="7">
        <v>556.49</v>
      </c>
      <c r="M247" s="7">
        <v>498.28</v>
      </c>
      <c r="N247" s="7">
        <v>0.17027163968687167</v>
      </c>
      <c r="O247" s="7">
        <v>0.63043478260869568</v>
      </c>
    </row>
    <row r="248" spans="1:15">
      <c r="A248" s="7" t="s">
        <v>83</v>
      </c>
      <c r="B248" s="7" t="s">
        <v>78</v>
      </c>
      <c r="C248" s="7" t="s">
        <v>55</v>
      </c>
      <c r="D248" s="7">
        <v>284</v>
      </c>
      <c r="E248" s="7">
        <v>91</v>
      </c>
      <c r="F248" s="7">
        <v>647</v>
      </c>
      <c r="G248" s="7">
        <v>55703.61</v>
      </c>
      <c r="H248" s="7">
        <v>49891.95</v>
      </c>
      <c r="I248" s="7">
        <v>5811.77</v>
      </c>
      <c r="J248" s="7">
        <v>7138.05</v>
      </c>
      <c r="K248" s="7">
        <v>162</v>
      </c>
      <c r="L248" s="7">
        <v>612.13</v>
      </c>
      <c r="M248" s="7">
        <v>548.26</v>
      </c>
      <c r="N248" s="7">
        <v>0.14307017464741306</v>
      </c>
      <c r="O248" s="7">
        <v>0.57042253521126762</v>
      </c>
    </row>
    <row r="249" spans="1:15">
      <c r="A249" s="7" t="s">
        <v>83</v>
      </c>
      <c r="B249" s="7" t="s">
        <v>78</v>
      </c>
      <c r="C249" s="7" t="s">
        <v>56</v>
      </c>
      <c r="D249" s="7">
        <v>336</v>
      </c>
      <c r="E249" s="7">
        <v>108</v>
      </c>
      <c r="F249" s="7">
        <v>734</v>
      </c>
      <c r="G249" s="7">
        <v>64888.29</v>
      </c>
      <c r="H249" s="7">
        <v>58070.73</v>
      </c>
      <c r="I249" s="7">
        <v>6817.68</v>
      </c>
      <c r="J249" s="7">
        <v>3980.31</v>
      </c>
      <c r="K249" s="7">
        <v>179</v>
      </c>
      <c r="L249" s="7">
        <v>600.82000000000005</v>
      </c>
      <c r="M249" s="7">
        <v>537.69000000000005</v>
      </c>
      <c r="N249" s="7">
        <v>6.8542448149007243E-2</v>
      </c>
      <c r="O249" s="7">
        <v>0.53273809523809523</v>
      </c>
    </row>
    <row r="250" spans="1:15">
      <c r="A250" s="7" t="s">
        <v>83</v>
      </c>
      <c r="B250" s="7" t="s">
        <v>78</v>
      </c>
      <c r="C250" s="7" t="s">
        <v>57</v>
      </c>
      <c r="D250" s="7">
        <v>256</v>
      </c>
      <c r="E250" s="7">
        <v>85</v>
      </c>
      <c r="F250" s="7">
        <v>542</v>
      </c>
      <c r="G250" s="7">
        <v>49365.08</v>
      </c>
      <c r="H250" s="7">
        <v>44465.42</v>
      </c>
      <c r="I250" s="7">
        <v>4899.7</v>
      </c>
      <c r="J250" s="7">
        <v>4551.4799999999996</v>
      </c>
      <c r="K250" s="7">
        <v>130</v>
      </c>
      <c r="L250" s="7">
        <v>580.77</v>
      </c>
      <c r="M250" s="7">
        <v>523.12</v>
      </c>
      <c r="N250" s="7">
        <v>0.10235999120215215</v>
      </c>
      <c r="O250" s="7">
        <v>0.5078125</v>
      </c>
    </row>
    <row r="251" spans="1:15">
      <c r="A251" s="7" t="s">
        <v>83</v>
      </c>
      <c r="B251" s="7" t="s">
        <v>78</v>
      </c>
      <c r="C251" s="7" t="s">
        <v>58</v>
      </c>
      <c r="D251" s="7">
        <v>154</v>
      </c>
      <c r="E251" s="7">
        <v>50</v>
      </c>
      <c r="F251" s="7">
        <v>338</v>
      </c>
      <c r="G251" s="7">
        <v>30802.15</v>
      </c>
      <c r="H251" s="7">
        <v>27907.79</v>
      </c>
      <c r="I251" s="7">
        <v>2894.4</v>
      </c>
      <c r="J251" s="7">
        <v>3223.99</v>
      </c>
      <c r="K251" s="7">
        <v>86</v>
      </c>
      <c r="L251" s="7">
        <v>616.04</v>
      </c>
      <c r="M251" s="7">
        <v>558.16</v>
      </c>
      <c r="N251" s="7">
        <v>0.11552294180227099</v>
      </c>
      <c r="O251" s="7">
        <v>0.55844155844155841</v>
      </c>
    </row>
    <row r="252" spans="1:15">
      <c r="A252" s="7" t="s">
        <v>83</v>
      </c>
      <c r="B252" s="7" t="s">
        <v>78</v>
      </c>
      <c r="C252" s="7" t="s">
        <v>63</v>
      </c>
      <c r="D252" s="7">
        <v>682</v>
      </c>
      <c r="E252" s="7">
        <v>230</v>
      </c>
      <c r="F252" s="7">
        <v>1428</v>
      </c>
      <c r="G252" s="7">
        <v>144628.48000000001</v>
      </c>
      <c r="H252" s="7">
        <v>129660.46</v>
      </c>
      <c r="I252" s="7">
        <v>14968.18</v>
      </c>
      <c r="J252" s="7">
        <v>10027.450000000001</v>
      </c>
      <c r="K252" s="7">
        <v>352</v>
      </c>
      <c r="L252" s="7">
        <v>628.82000000000005</v>
      </c>
      <c r="M252" s="7">
        <v>563.74</v>
      </c>
      <c r="N252" s="7">
        <v>7.7336221080813686E-2</v>
      </c>
      <c r="O252" s="7">
        <v>0.5161290322580645</v>
      </c>
    </row>
    <row r="253" spans="1:15">
      <c r="A253" s="7" t="s">
        <v>83</v>
      </c>
      <c r="B253" s="7" t="s">
        <v>78</v>
      </c>
      <c r="C253" s="7" t="s">
        <v>64</v>
      </c>
      <c r="D253" s="7">
        <v>1614</v>
      </c>
      <c r="E253" s="7">
        <v>534</v>
      </c>
      <c r="F253" s="7">
        <v>3374</v>
      </c>
      <c r="G253" s="7">
        <v>334417.82</v>
      </c>
      <c r="H253" s="7">
        <v>301177.71999999997</v>
      </c>
      <c r="I253" s="7">
        <v>33240.519999999997</v>
      </c>
      <c r="J253" s="7">
        <v>35079.94</v>
      </c>
      <c r="K253" s="7">
        <v>860</v>
      </c>
      <c r="L253" s="7">
        <v>626.25</v>
      </c>
      <c r="M253" s="7">
        <v>564</v>
      </c>
      <c r="N253" s="7">
        <v>0.11647588008834119</v>
      </c>
      <c r="O253" s="7">
        <v>0.53283767038413876</v>
      </c>
    </row>
    <row r="254" spans="1:15">
      <c r="A254" s="7" t="s">
        <v>83</v>
      </c>
      <c r="B254" s="7" t="s">
        <v>78</v>
      </c>
      <c r="C254" s="7" t="s">
        <v>65</v>
      </c>
      <c r="D254" s="7">
        <v>1550</v>
      </c>
      <c r="E254" s="7">
        <v>520</v>
      </c>
      <c r="F254" s="7">
        <v>3274</v>
      </c>
      <c r="G254" s="7">
        <v>322278.55</v>
      </c>
      <c r="H254" s="7">
        <v>289744.06</v>
      </c>
      <c r="I254" s="7">
        <v>32534.89</v>
      </c>
      <c r="J254" s="7">
        <v>34726.6</v>
      </c>
      <c r="K254" s="7">
        <v>883</v>
      </c>
      <c r="L254" s="7">
        <v>619.77</v>
      </c>
      <c r="M254" s="7">
        <v>557.20000000000005</v>
      </c>
      <c r="N254" s="7">
        <v>0.11985267273468868</v>
      </c>
      <c r="O254" s="7">
        <v>0.56967741935483873</v>
      </c>
    </row>
    <row r="255" spans="1:15">
      <c r="A255" s="7" t="s">
        <v>83</v>
      </c>
      <c r="B255" s="7" t="s">
        <v>78</v>
      </c>
      <c r="C255" s="7" t="s">
        <v>66</v>
      </c>
      <c r="D255" s="7">
        <v>1557</v>
      </c>
      <c r="E255" s="7">
        <v>508</v>
      </c>
      <c r="F255" s="7">
        <v>3092</v>
      </c>
      <c r="G255" s="7">
        <v>340644.34</v>
      </c>
      <c r="H255" s="7">
        <v>305178.69</v>
      </c>
      <c r="I255" s="7">
        <v>35466.050000000003</v>
      </c>
      <c r="J255" s="7">
        <v>37525.68</v>
      </c>
      <c r="K255" s="7">
        <v>860</v>
      </c>
      <c r="L255" s="7">
        <v>670.56</v>
      </c>
      <c r="M255" s="7">
        <v>600.75</v>
      </c>
      <c r="N255" s="7">
        <v>0.1229629762156722</v>
      </c>
      <c r="O255" s="7">
        <v>0.55234425176621704</v>
      </c>
    </row>
    <row r="256" spans="1:15">
      <c r="A256" s="7" t="s">
        <v>83</v>
      </c>
      <c r="B256" s="7" t="s">
        <v>78</v>
      </c>
      <c r="C256" s="7" t="s">
        <v>67</v>
      </c>
      <c r="D256" s="7">
        <v>702</v>
      </c>
      <c r="E256" s="7">
        <v>650</v>
      </c>
      <c r="F256" s="7">
        <v>776</v>
      </c>
      <c r="G256" s="7">
        <v>321969.64</v>
      </c>
      <c r="H256" s="7">
        <v>288162.12</v>
      </c>
      <c r="I256" s="7">
        <v>33807.79</v>
      </c>
      <c r="J256" s="7">
        <v>35376.79</v>
      </c>
      <c r="K256" s="7">
        <v>354</v>
      </c>
      <c r="L256" s="7">
        <v>495.34</v>
      </c>
      <c r="M256" s="7">
        <v>443.33</v>
      </c>
      <c r="N256" s="7">
        <v>0.12276696881602621</v>
      </c>
      <c r="O256" s="7">
        <v>0.50427350427350426</v>
      </c>
    </row>
    <row r="257" spans="1:15">
      <c r="A257" s="7" t="s">
        <v>83</v>
      </c>
      <c r="B257" s="7" t="s">
        <v>78</v>
      </c>
      <c r="C257" s="7" t="s">
        <v>68</v>
      </c>
      <c r="D257" s="7">
        <v>194</v>
      </c>
      <c r="E257" s="7">
        <v>194</v>
      </c>
      <c r="F257" s="7">
        <v>194</v>
      </c>
      <c r="G257" s="7">
        <v>57156.02</v>
      </c>
      <c r="H257" s="7">
        <v>51748.97</v>
      </c>
      <c r="I257" s="7">
        <v>5407.08</v>
      </c>
      <c r="J257" s="7">
        <v>6117.58</v>
      </c>
      <c r="K257" s="7">
        <v>93</v>
      </c>
      <c r="L257" s="7">
        <v>294.62</v>
      </c>
      <c r="M257" s="7">
        <v>266.75</v>
      </c>
      <c r="N257" s="7">
        <v>0.11821645918749686</v>
      </c>
      <c r="O257" s="7">
        <v>0.47938144329896909</v>
      </c>
    </row>
    <row r="258" spans="1:15">
      <c r="A258" s="7" t="s">
        <v>83</v>
      </c>
      <c r="B258" s="7" t="s">
        <v>79</v>
      </c>
      <c r="C258" s="7" t="s">
        <v>37</v>
      </c>
      <c r="D258" s="7">
        <v>15</v>
      </c>
      <c r="E258" s="7">
        <v>5</v>
      </c>
      <c r="F258" s="7">
        <v>28</v>
      </c>
      <c r="G258" s="7">
        <v>2814.62</v>
      </c>
      <c r="H258" s="7">
        <v>2505.64</v>
      </c>
      <c r="I258" s="7">
        <v>308.98</v>
      </c>
      <c r="J258" s="7">
        <v>-358.1</v>
      </c>
      <c r="K258" s="7">
        <v>7</v>
      </c>
      <c r="L258" s="7">
        <v>562.91999999999996</v>
      </c>
      <c r="M258" s="7">
        <v>501.13</v>
      </c>
      <c r="N258" s="7">
        <v>-0.14291757794415799</v>
      </c>
      <c r="O258" s="7">
        <v>0.46666666666666667</v>
      </c>
    </row>
    <row r="259" spans="1:15">
      <c r="A259" s="7" t="s">
        <v>83</v>
      </c>
      <c r="B259" s="7" t="s">
        <v>79</v>
      </c>
      <c r="C259" s="7" t="s">
        <v>39</v>
      </c>
      <c r="D259" s="7">
        <v>905</v>
      </c>
      <c r="E259" s="7">
        <v>313</v>
      </c>
      <c r="F259" s="7">
        <v>1944</v>
      </c>
      <c r="G259" s="7">
        <v>175454.19</v>
      </c>
      <c r="H259" s="7">
        <v>158704.57</v>
      </c>
      <c r="I259" s="7">
        <v>16749.86</v>
      </c>
      <c r="J259" s="7">
        <v>17243.41</v>
      </c>
      <c r="K259" s="7">
        <v>482</v>
      </c>
      <c r="L259" s="7">
        <v>560.55999999999995</v>
      </c>
      <c r="M259" s="7">
        <v>507.04</v>
      </c>
      <c r="N259" s="7">
        <v>0.10865099851882022</v>
      </c>
      <c r="O259" s="7">
        <v>0.53259668508287294</v>
      </c>
    </row>
    <row r="260" spans="1:15">
      <c r="A260" s="7" t="s">
        <v>83</v>
      </c>
      <c r="B260" s="7" t="s">
        <v>79</v>
      </c>
      <c r="C260" s="7" t="s">
        <v>40</v>
      </c>
      <c r="D260" s="7">
        <v>943</v>
      </c>
      <c r="E260" s="7">
        <v>313</v>
      </c>
      <c r="F260" s="7">
        <v>2130</v>
      </c>
      <c r="G260" s="7">
        <v>180331.99</v>
      </c>
      <c r="H260" s="7">
        <v>161279.09</v>
      </c>
      <c r="I260" s="7">
        <v>19053.2</v>
      </c>
      <c r="J260" s="7">
        <v>15758.58</v>
      </c>
      <c r="K260" s="7">
        <v>537</v>
      </c>
      <c r="L260" s="7">
        <v>576.14</v>
      </c>
      <c r="M260" s="7">
        <v>515.27</v>
      </c>
      <c r="N260" s="7">
        <v>9.7710000719870141E-2</v>
      </c>
      <c r="O260" s="7">
        <v>0.56945917285259806</v>
      </c>
    </row>
    <row r="261" spans="1:15">
      <c r="A261" s="7" t="s">
        <v>83</v>
      </c>
      <c r="B261" s="7" t="s">
        <v>79</v>
      </c>
      <c r="C261" s="7" t="s">
        <v>41</v>
      </c>
      <c r="D261" s="7">
        <v>913</v>
      </c>
      <c r="E261" s="7">
        <v>318</v>
      </c>
      <c r="F261" s="7">
        <v>1948</v>
      </c>
      <c r="G261" s="7">
        <v>176719.31</v>
      </c>
      <c r="H261" s="7">
        <v>158967.56</v>
      </c>
      <c r="I261" s="7">
        <v>17751.96</v>
      </c>
      <c r="J261" s="7">
        <v>16930.95</v>
      </c>
      <c r="K261" s="7">
        <v>504</v>
      </c>
      <c r="L261" s="7">
        <v>555.72</v>
      </c>
      <c r="M261" s="7">
        <v>499.9</v>
      </c>
      <c r="N261" s="7">
        <v>0.10650569210472879</v>
      </c>
      <c r="O261" s="7">
        <v>0.55202628696604605</v>
      </c>
    </row>
    <row r="262" spans="1:15">
      <c r="A262" s="7" t="s">
        <v>83</v>
      </c>
      <c r="B262" s="7" t="s">
        <v>79</v>
      </c>
      <c r="C262" s="7" t="s">
        <v>42</v>
      </c>
      <c r="D262" s="7">
        <v>890</v>
      </c>
      <c r="E262" s="7">
        <v>299</v>
      </c>
      <c r="F262" s="7">
        <v>1993</v>
      </c>
      <c r="G262" s="7">
        <v>176238.44</v>
      </c>
      <c r="H262" s="7">
        <v>156981.31</v>
      </c>
      <c r="I262" s="7">
        <v>19257.47</v>
      </c>
      <c r="J262" s="7">
        <v>18439.509999999998</v>
      </c>
      <c r="K262" s="7">
        <v>508</v>
      </c>
      <c r="L262" s="7">
        <v>589.42999999999995</v>
      </c>
      <c r="M262" s="7">
        <v>525.02</v>
      </c>
      <c r="N262" s="7">
        <v>0.1174630916253661</v>
      </c>
      <c r="O262" s="7">
        <v>0.57078651685393256</v>
      </c>
    </row>
    <row r="263" spans="1:15">
      <c r="A263" s="7" t="s">
        <v>83</v>
      </c>
      <c r="B263" s="7" t="s">
        <v>79</v>
      </c>
      <c r="C263" s="7" t="s">
        <v>43</v>
      </c>
      <c r="D263" s="7">
        <v>720</v>
      </c>
      <c r="E263" s="7">
        <v>242</v>
      </c>
      <c r="F263" s="7">
        <v>1600</v>
      </c>
      <c r="G263" s="7">
        <v>142153.31</v>
      </c>
      <c r="H263" s="7">
        <v>127801.56</v>
      </c>
      <c r="I263" s="7">
        <v>14351.9</v>
      </c>
      <c r="J263" s="7">
        <v>16636.669999999998</v>
      </c>
      <c r="K263" s="7">
        <v>412</v>
      </c>
      <c r="L263" s="7">
        <v>587.41</v>
      </c>
      <c r="M263" s="7">
        <v>528.11</v>
      </c>
      <c r="N263" s="7">
        <v>0.13017579754112546</v>
      </c>
      <c r="O263" s="7">
        <v>0.57222222222222219</v>
      </c>
    </row>
    <row r="264" spans="1:15">
      <c r="A264" s="7" t="s">
        <v>83</v>
      </c>
      <c r="B264" s="7" t="s">
        <v>79</v>
      </c>
      <c r="C264" s="7" t="s">
        <v>53</v>
      </c>
      <c r="D264" s="7">
        <v>15</v>
      </c>
      <c r="E264" s="7">
        <v>4</v>
      </c>
      <c r="F264" s="7">
        <v>27</v>
      </c>
      <c r="G264" s="7">
        <v>3039.69</v>
      </c>
      <c r="H264" s="7">
        <v>2661.56</v>
      </c>
      <c r="I264" s="7">
        <v>378.13</v>
      </c>
      <c r="J264" s="7">
        <v>-27.73</v>
      </c>
      <c r="K264" s="7">
        <v>11</v>
      </c>
      <c r="L264" s="7">
        <v>759.92</v>
      </c>
      <c r="M264" s="7">
        <v>665.39</v>
      </c>
      <c r="N264" s="7">
        <v>-1.0418701813973761E-2</v>
      </c>
      <c r="O264" s="7">
        <v>0.73333333333333328</v>
      </c>
    </row>
    <row r="265" spans="1:15">
      <c r="A265" s="7" t="s">
        <v>83</v>
      </c>
      <c r="B265" s="7" t="s">
        <v>79</v>
      </c>
      <c r="C265" s="7" t="s">
        <v>54</v>
      </c>
      <c r="D265" s="7">
        <v>164</v>
      </c>
      <c r="E265" s="7">
        <v>57</v>
      </c>
      <c r="F265" s="7">
        <v>359</v>
      </c>
      <c r="G265" s="7">
        <v>31189.3</v>
      </c>
      <c r="H265" s="7">
        <v>28072.28</v>
      </c>
      <c r="I265" s="7">
        <v>3117.05</v>
      </c>
      <c r="J265" s="7">
        <v>2824.3</v>
      </c>
      <c r="K265" s="7">
        <v>102</v>
      </c>
      <c r="L265" s="7">
        <v>547.17999999999995</v>
      </c>
      <c r="M265" s="7">
        <v>492.5</v>
      </c>
      <c r="N265" s="7">
        <v>0.1006081444043733</v>
      </c>
      <c r="O265" s="7">
        <v>0.62195121951219512</v>
      </c>
    </row>
    <row r="266" spans="1:15">
      <c r="A266" s="7" t="s">
        <v>83</v>
      </c>
      <c r="B266" s="7" t="s">
        <v>79</v>
      </c>
      <c r="C266" s="7" t="s">
        <v>55</v>
      </c>
      <c r="D266" s="7">
        <v>133</v>
      </c>
      <c r="E266" s="7">
        <v>45</v>
      </c>
      <c r="F266" s="7">
        <v>320</v>
      </c>
      <c r="G266" s="7">
        <v>26058.54</v>
      </c>
      <c r="H266" s="7">
        <v>23495.86</v>
      </c>
      <c r="I266" s="7">
        <v>2562.73</v>
      </c>
      <c r="J266" s="7">
        <v>2434.7800000000002</v>
      </c>
      <c r="K266" s="7">
        <v>76</v>
      </c>
      <c r="L266" s="7">
        <v>579.08000000000004</v>
      </c>
      <c r="M266" s="7">
        <v>522.13</v>
      </c>
      <c r="N266" s="7">
        <v>0.10362591537402759</v>
      </c>
      <c r="O266" s="7">
        <v>0.5714285714285714</v>
      </c>
    </row>
    <row r="267" spans="1:15">
      <c r="A267" s="7" t="s">
        <v>83</v>
      </c>
      <c r="B267" s="7" t="s">
        <v>79</v>
      </c>
      <c r="C267" s="7" t="s">
        <v>56</v>
      </c>
      <c r="D267" s="7">
        <v>139</v>
      </c>
      <c r="E267" s="7">
        <v>47</v>
      </c>
      <c r="F267" s="7">
        <v>322</v>
      </c>
      <c r="G267" s="7">
        <v>27328.73</v>
      </c>
      <c r="H267" s="7">
        <v>24877.68</v>
      </c>
      <c r="I267" s="7">
        <v>2451.06</v>
      </c>
      <c r="J267" s="7">
        <v>2466.58</v>
      </c>
      <c r="K267" s="7">
        <v>82</v>
      </c>
      <c r="L267" s="7">
        <v>581.46</v>
      </c>
      <c r="M267" s="7">
        <v>529.30999999999995</v>
      </c>
      <c r="N267" s="7">
        <v>9.9148312865186786E-2</v>
      </c>
      <c r="O267" s="7">
        <v>0.58992805755395683</v>
      </c>
    </row>
    <row r="268" spans="1:15">
      <c r="A268" s="7" t="s">
        <v>83</v>
      </c>
      <c r="B268" s="7" t="s">
        <v>79</v>
      </c>
      <c r="C268" s="7" t="s">
        <v>57</v>
      </c>
      <c r="D268" s="7">
        <v>162</v>
      </c>
      <c r="E268" s="7">
        <v>55</v>
      </c>
      <c r="F268" s="7">
        <v>359</v>
      </c>
      <c r="G268" s="7">
        <v>30675.119999999999</v>
      </c>
      <c r="H268" s="7">
        <v>27332.15</v>
      </c>
      <c r="I268" s="7">
        <v>3343.02</v>
      </c>
      <c r="J268" s="7">
        <v>3961.6</v>
      </c>
      <c r="K268" s="7">
        <v>87</v>
      </c>
      <c r="L268" s="7">
        <v>557.73</v>
      </c>
      <c r="M268" s="7">
        <v>496.95</v>
      </c>
      <c r="N268" s="7">
        <v>0.14494286033114848</v>
      </c>
      <c r="O268" s="7">
        <v>0.53703703703703709</v>
      </c>
    </row>
    <row r="269" spans="1:15">
      <c r="A269" s="7" t="s">
        <v>83</v>
      </c>
      <c r="B269" s="7" t="s">
        <v>79</v>
      </c>
      <c r="C269" s="7" t="s">
        <v>58</v>
      </c>
      <c r="D269" s="7">
        <v>137</v>
      </c>
      <c r="E269" s="7">
        <v>45</v>
      </c>
      <c r="F269" s="7">
        <v>302</v>
      </c>
      <c r="G269" s="7">
        <v>28088.14</v>
      </c>
      <c r="H269" s="7">
        <v>25056.75</v>
      </c>
      <c r="I269" s="7">
        <v>3031.42</v>
      </c>
      <c r="J269" s="7">
        <v>3276.87</v>
      </c>
      <c r="K269" s="7">
        <v>76</v>
      </c>
      <c r="L269" s="7">
        <v>624.17999999999995</v>
      </c>
      <c r="M269" s="7">
        <v>556.82000000000005</v>
      </c>
      <c r="N269" s="7">
        <v>0.13077793408961658</v>
      </c>
      <c r="O269" s="7">
        <v>0.55474452554744524</v>
      </c>
    </row>
    <row r="270" spans="1:15">
      <c r="A270" s="7" t="s">
        <v>83</v>
      </c>
      <c r="B270" s="7" t="s">
        <v>79</v>
      </c>
      <c r="C270" s="7" t="s">
        <v>63</v>
      </c>
      <c r="D270" s="7">
        <v>418</v>
      </c>
      <c r="E270" s="7">
        <v>136</v>
      </c>
      <c r="F270" s="7">
        <v>906</v>
      </c>
      <c r="G270" s="7">
        <v>88466.21</v>
      </c>
      <c r="H270" s="7">
        <v>79127.48</v>
      </c>
      <c r="I270" s="7">
        <v>9338.82</v>
      </c>
      <c r="J270" s="7">
        <v>8512.85</v>
      </c>
      <c r="K270" s="7">
        <v>251</v>
      </c>
      <c r="L270" s="7">
        <v>650.49</v>
      </c>
      <c r="M270" s="7">
        <v>581.82000000000005</v>
      </c>
      <c r="N270" s="7">
        <v>0.1075839897845856</v>
      </c>
      <c r="O270" s="7">
        <v>0.6004784688995215</v>
      </c>
    </row>
    <row r="271" spans="1:15">
      <c r="A271" s="7" t="s">
        <v>83</v>
      </c>
      <c r="B271" s="7" t="s">
        <v>79</v>
      </c>
      <c r="C271" s="7" t="s">
        <v>64</v>
      </c>
      <c r="D271" s="7">
        <v>887</v>
      </c>
      <c r="E271" s="7">
        <v>304</v>
      </c>
      <c r="F271" s="7">
        <v>1794</v>
      </c>
      <c r="G271" s="7">
        <v>180498.81</v>
      </c>
      <c r="H271" s="7">
        <v>162524.96</v>
      </c>
      <c r="I271" s="7">
        <v>17974.05</v>
      </c>
      <c r="J271" s="7">
        <v>15986.03</v>
      </c>
      <c r="K271" s="7">
        <v>471</v>
      </c>
      <c r="L271" s="7">
        <v>593.75</v>
      </c>
      <c r="M271" s="7">
        <v>534.62</v>
      </c>
      <c r="N271" s="7">
        <v>9.8360461063949814E-2</v>
      </c>
      <c r="O271" s="7">
        <v>0.53100338218714771</v>
      </c>
    </row>
    <row r="272" spans="1:15">
      <c r="A272" s="7" t="s">
        <v>83</v>
      </c>
      <c r="B272" s="7" t="s">
        <v>79</v>
      </c>
      <c r="C272" s="7" t="s">
        <v>65</v>
      </c>
      <c r="D272" s="7">
        <v>906</v>
      </c>
      <c r="E272" s="7">
        <v>309</v>
      </c>
      <c r="F272" s="7">
        <v>1937</v>
      </c>
      <c r="G272" s="7">
        <v>195058.36</v>
      </c>
      <c r="H272" s="7">
        <v>174621.47</v>
      </c>
      <c r="I272" s="7">
        <v>20437.080000000002</v>
      </c>
      <c r="J272" s="7">
        <v>25135.98</v>
      </c>
      <c r="K272" s="7">
        <v>492</v>
      </c>
      <c r="L272" s="7">
        <v>631.26</v>
      </c>
      <c r="M272" s="7">
        <v>565.12</v>
      </c>
      <c r="N272" s="7">
        <v>0.14394552972208974</v>
      </c>
      <c r="O272" s="7">
        <v>0.54304635761589404</v>
      </c>
    </row>
    <row r="273" spans="1:15">
      <c r="A273" s="7" t="s">
        <v>83</v>
      </c>
      <c r="B273" s="7" t="s">
        <v>79</v>
      </c>
      <c r="C273" s="7" t="s">
        <v>66</v>
      </c>
      <c r="D273" s="7">
        <v>981</v>
      </c>
      <c r="E273" s="7">
        <v>334</v>
      </c>
      <c r="F273" s="7">
        <v>1932</v>
      </c>
      <c r="G273" s="7">
        <v>214623.05</v>
      </c>
      <c r="H273" s="7">
        <v>192336.49</v>
      </c>
      <c r="I273" s="7">
        <v>22286.76</v>
      </c>
      <c r="J273" s="7">
        <v>23861.87</v>
      </c>
      <c r="K273" s="7">
        <v>542</v>
      </c>
      <c r="L273" s="7">
        <v>642.58000000000004</v>
      </c>
      <c r="M273" s="7">
        <v>575.86</v>
      </c>
      <c r="N273" s="7">
        <v>0.12406314579204393</v>
      </c>
      <c r="O273" s="7">
        <v>0.55249745158002039</v>
      </c>
    </row>
    <row r="274" spans="1:15">
      <c r="A274" s="7" t="s">
        <v>83</v>
      </c>
      <c r="B274" s="7" t="s">
        <v>79</v>
      </c>
      <c r="C274" s="7" t="s">
        <v>67</v>
      </c>
      <c r="D274" s="7">
        <v>400</v>
      </c>
      <c r="E274" s="7">
        <v>376</v>
      </c>
      <c r="F274" s="7">
        <v>445</v>
      </c>
      <c r="G274" s="7">
        <v>189221.59</v>
      </c>
      <c r="H274" s="7">
        <v>170207.68</v>
      </c>
      <c r="I274" s="7">
        <v>19014.05</v>
      </c>
      <c r="J274" s="7">
        <v>10908.7</v>
      </c>
      <c r="K274" s="7">
        <v>216</v>
      </c>
      <c r="L274" s="7">
        <v>503.25</v>
      </c>
      <c r="M274" s="7">
        <v>452.68</v>
      </c>
      <c r="N274" s="7">
        <v>6.4090527524962457E-2</v>
      </c>
      <c r="O274" s="7">
        <v>0.54</v>
      </c>
    </row>
    <row r="275" spans="1:15">
      <c r="A275" s="7" t="s">
        <v>83</v>
      </c>
      <c r="B275" s="7" t="s">
        <v>79</v>
      </c>
      <c r="C275" s="7" t="s">
        <v>68</v>
      </c>
      <c r="D275" s="7">
        <v>103</v>
      </c>
      <c r="E275" s="7">
        <v>103</v>
      </c>
      <c r="F275" s="7">
        <v>103</v>
      </c>
      <c r="G275" s="7">
        <v>29801.34</v>
      </c>
      <c r="H275" s="7">
        <v>26631.45</v>
      </c>
      <c r="I275" s="7">
        <v>3169.92</v>
      </c>
      <c r="J275" s="7">
        <v>2938.99</v>
      </c>
      <c r="K275" s="7">
        <v>70</v>
      </c>
      <c r="L275" s="7">
        <v>289.33</v>
      </c>
      <c r="M275" s="7">
        <v>258.56</v>
      </c>
      <c r="N275" s="7">
        <v>0.11035786635725804</v>
      </c>
      <c r="O275" s="7">
        <v>0.67961165048543692</v>
      </c>
    </row>
    <row r="276" spans="1:15">
      <c r="A276" s="7" t="s">
        <v>84</v>
      </c>
      <c r="B276" s="7" t="s">
        <v>2</v>
      </c>
      <c r="C276" s="7" t="s">
        <v>30</v>
      </c>
      <c r="D276" s="7">
        <v>5322</v>
      </c>
      <c r="E276" s="7">
        <v>1787</v>
      </c>
      <c r="F276" s="7">
        <v>11854</v>
      </c>
      <c r="G276" s="7">
        <v>1051590.06</v>
      </c>
      <c r="H276" s="7">
        <v>945382.15</v>
      </c>
      <c r="I276" s="7">
        <v>106209.28</v>
      </c>
      <c r="J276" s="7">
        <v>111660.74</v>
      </c>
      <c r="K276" s="7">
        <v>2880</v>
      </c>
      <c r="L276" s="7">
        <v>588.47</v>
      </c>
      <c r="M276" s="7">
        <v>529.03</v>
      </c>
      <c r="N276" s="7">
        <v>0.11811174983576747</v>
      </c>
      <c r="O276" s="7">
        <v>0.54114994363021418</v>
      </c>
    </row>
    <row r="277" spans="1:15">
      <c r="A277" s="7" t="s">
        <v>84</v>
      </c>
      <c r="B277" s="7" t="s">
        <v>2</v>
      </c>
      <c r="C277" s="7" t="s">
        <v>33</v>
      </c>
      <c r="D277" s="7">
        <v>4729</v>
      </c>
      <c r="E277" s="7">
        <v>1585</v>
      </c>
      <c r="F277" s="7">
        <v>10438</v>
      </c>
      <c r="G277" s="7">
        <v>927009.88</v>
      </c>
      <c r="H277" s="7">
        <v>833012.42</v>
      </c>
      <c r="I277" s="7">
        <v>93998.57</v>
      </c>
      <c r="J277" s="7">
        <v>99140.66</v>
      </c>
      <c r="K277" s="7">
        <v>2594</v>
      </c>
      <c r="L277" s="7">
        <v>584.86</v>
      </c>
      <c r="M277" s="7">
        <v>525.55999999999995</v>
      </c>
      <c r="N277" s="7">
        <v>0.11901462405566533</v>
      </c>
      <c r="O277" s="7">
        <v>0.54853034468175088</v>
      </c>
    </row>
    <row r="278" spans="1:15">
      <c r="A278" s="7" t="s">
        <v>84</v>
      </c>
      <c r="B278" s="7" t="s">
        <v>2</v>
      </c>
      <c r="C278" s="7" t="s">
        <v>35</v>
      </c>
      <c r="D278" s="7">
        <v>5362</v>
      </c>
      <c r="E278" s="7">
        <v>1781</v>
      </c>
      <c r="F278" s="7">
        <v>12062</v>
      </c>
      <c r="G278" s="7">
        <v>1051253.67</v>
      </c>
      <c r="H278" s="7">
        <v>944050.1</v>
      </c>
      <c r="I278" s="7">
        <v>107204.88</v>
      </c>
      <c r="J278" s="7">
        <v>113778.21</v>
      </c>
      <c r="K278" s="7">
        <v>2936</v>
      </c>
      <c r="L278" s="7">
        <v>590.26</v>
      </c>
      <c r="M278" s="7">
        <v>530.07000000000005</v>
      </c>
      <c r="N278" s="7">
        <v>0.1205213685163531</v>
      </c>
      <c r="O278" s="7">
        <v>0.54755688176053707</v>
      </c>
    </row>
    <row r="279" spans="1:15">
      <c r="A279" s="7" t="s">
        <v>84</v>
      </c>
      <c r="B279" s="7" t="s">
        <v>2</v>
      </c>
      <c r="C279" s="7" t="s">
        <v>36</v>
      </c>
      <c r="D279" s="7">
        <v>5126</v>
      </c>
      <c r="E279" s="7">
        <v>1710</v>
      </c>
      <c r="F279" s="7">
        <v>11287</v>
      </c>
      <c r="G279" s="7">
        <v>1014463.26</v>
      </c>
      <c r="H279" s="7">
        <v>912004.39</v>
      </c>
      <c r="I279" s="7">
        <v>102460.16</v>
      </c>
      <c r="J279" s="7">
        <v>108083.68</v>
      </c>
      <c r="K279" s="7">
        <v>2760</v>
      </c>
      <c r="L279" s="7">
        <v>593.25</v>
      </c>
      <c r="M279" s="7">
        <v>533.34</v>
      </c>
      <c r="N279" s="7">
        <v>0.11851223654745784</v>
      </c>
      <c r="O279" s="7">
        <v>0.53843152555598905</v>
      </c>
    </row>
    <row r="280" spans="1:15">
      <c r="A280" s="7" t="s">
        <v>84</v>
      </c>
      <c r="B280" s="7" t="s">
        <v>2</v>
      </c>
      <c r="C280" s="7" t="s">
        <v>37</v>
      </c>
      <c r="D280" s="7">
        <v>5236</v>
      </c>
      <c r="E280" s="7">
        <v>1735</v>
      </c>
      <c r="F280" s="7">
        <v>11647</v>
      </c>
      <c r="G280" s="7">
        <v>1027871.5</v>
      </c>
      <c r="H280" s="7">
        <v>923708.48</v>
      </c>
      <c r="I280" s="7">
        <v>104164.25</v>
      </c>
      <c r="J280" s="7">
        <v>109190.45</v>
      </c>
      <c r="K280" s="7">
        <v>2877</v>
      </c>
      <c r="L280" s="7">
        <v>592.42999999999995</v>
      </c>
      <c r="M280" s="7">
        <v>532.4</v>
      </c>
      <c r="N280" s="7">
        <v>0.11820877729735685</v>
      </c>
      <c r="O280" s="7">
        <v>0.54946524064171121</v>
      </c>
    </row>
    <row r="281" spans="1:15">
      <c r="A281" s="7" t="s">
        <v>84</v>
      </c>
      <c r="B281" s="7" t="s">
        <v>2</v>
      </c>
      <c r="C281" s="7" t="s">
        <v>58</v>
      </c>
      <c r="D281" s="7">
        <v>2240</v>
      </c>
      <c r="E281" s="7">
        <v>743</v>
      </c>
      <c r="F281" s="7">
        <v>4967</v>
      </c>
      <c r="G281" s="7">
        <v>439543.32</v>
      </c>
      <c r="H281" s="7">
        <v>395037.67</v>
      </c>
      <c r="I281" s="7">
        <v>44506.17</v>
      </c>
      <c r="J281" s="7">
        <v>49674.9</v>
      </c>
      <c r="K281" s="7">
        <v>1216</v>
      </c>
      <c r="L281" s="7">
        <v>591.58000000000004</v>
      </c>
      <c r="M281" s="7">
        <v>531.67999999999995</v>
      </c>
      <c r="N281" s="7">
        <v>0.12574724835735288</v>
      </c>
      <c r="O281" s="7">
        <v>0.54285714285714282</v>
      </c>
    </row>
    <row r="282" spans="1:15">
      <c r="A282" s="7" t="s">
        <v>84</v>
      </c>
      <c r="B282" s="7" t="s">
        <v>2</v>
      </c>
      <c r="C282" s="7" t="s">
        <v>59</v>
      </c>
      <c r="D282" s="7">
        <v>4906</v>
      </c>
      <c r="E282" s="7">
        <v>1614</v>
      </c>
      <c r="F282" s="7">
        <v>11070</v>
      </c>
      <c r="G282" s="7">
        <v>992534.88</v>
      </c>
      <c r="H282" s="7">
        <v>891924.28</v>
      </c>
      <c r="I282" s="7">
        <v>100611.81</v>
      </c>
      <c r="J282" s="7">
        <v>115111.07</v>
      </c>
      <c r="K282" s="7">
        <v>2682</v>
      </c>
      <c r="L282" s="7">
        <v>614.95000000000005</v>
      </c>
      <c r="M282" s="7">
        <v>552.62</v>
      </c>
      <c r="N282" s="7">
        <v>0.12905924032026575</v>
      </c>
      <c r="O282" s="7">
        <v>0.5466775377089278</v>
      </c>
    </row>
    <row r="283" spans="1:15">
      <c r="A283" s="7" t="s">
        <v>84</v>
      </c>
      <c r="B283" s="7" t="s">
        <v>2</v>
      </c>
      <c r="C283" s="7" t="s">
        <v>60</v>
      </c>
      <c r="D283" s="7">
        <v>5347</v>
      </c>
      <c r="E283" s="7">
        <v>1782</v>
      </c>
      <c r="F283" s="7">
        <v>11676</v>
      </c>
      <c r="G283" s="7">
        <v>1048004.76</v>
      </c>
      <c r="H283" s="7">
        <v>942290.42</v>
      </c>
      <c r="I283" s="7">
        <v>105715.63</v>
      </c>
      <c r="J283" s="7">
        <v>118688.9</v>
      </c>
      <c r="K283" s="7">
        <v>2955</v>
      </c>
      <c r="L283" s="7">
        <v>588.11</v>
      </c>
      <c r="M283" s="7">
        <v>528.78</v>
      </c>
      <c r="N283" s="7">
        <v>0.12595787612910253</v>
      </c>
      <c r="O283" s="7">
        <v>0.55264634374415555</v>
      </c>
    </row>
    <row r="284" spans="1:15">
      <c r="A284" s="7" t="s">
        <v>84</v>
      </c>
      <c r="B284" s="7" t="s">
        <v>2</v>
      </c>
      <c r="C284" s="7" t="s">
        <v>61</v>
      </c>
      <c r="D284" s="7">
        <v>5212</v>
      </c>
      <c r="E284" s="7">
        <v>1739</v>
      </c>
      <c r="F284" s="7">
        <v>11189</v>
      </c>
      <c r="G284" s="7">
        <v>1038321.6</v>
      </c>
      <c r="H284" s="7">
        <v>932318.19</v>
      </c>
      <c r="I284" s="7">
        <v>106004.69</v>
      </c>
      <c r="J284" s="7">
        <v>115961.06</v>
      </c>
      <c r="K284" s="7">
        <v>2803</v>
      </c>
      <c r="L284" s="7">
        <v>597.08000000000004</v>
      </c>
      <c r="M284" s="7">
        <v>536.12</v>
      </c>
      <c r="N284" s="7">
        <v>0.12437927441917655</v>
      </c>
      <c r="O284" s="7">
        <v>0.53779739063699161</v>
      </c>
    </row>
    <row r="285" spans="1:15">
      <c r="A285" s="7" t="s">
        <v>84</v>
      </c>
      <c r="B285" s="7" t="s">
        <v>2</v>
      </c>
      <c r="C285" s="7" t="s">
        <v>62</v>
      </c>
      <c r="D285" s="7">
        <v>5317</v>
      </c>
      <c r="E285" s="7">
        <v>1763</v>
      </c>
      <c r="F285" s="7">
        <v>11033</v>
      </c>
      <c r="G285" s="7">
        <v>1105485.3</v>
      </c>
      <c r="H285" s="7">
        <v>993199.04</v>
      </c>
      <c r="I285" s="7">
        <v>112287.53</v>
      </c>
      <c r="J285" s="7">
        <v>115014.64</v>
      </c>
      <c r="K285" s="7">
        <v>2843</v>
      </c>
      <c r="L285" s="7">
        <v>627.04999999999995</v>
      </c>
      <c r="M285" s="7">
        <v>563.36</v>
      </c>
      <c r="N285" s="7">
        <v>0.11580220617208813</v>
      </c>
      <c r="O285" s="7">
        <v>0.53470001880759832</v>
      </c>
    </row>
    <row r="286" spans="1:15">
      <c r="A286" s="7" t="s">
        <v>84</v>
      </c>
      <c r="B286" s="7" t="s">
        <v>2</v>
      </c>
      <c r="C286" s="7" t="s">
        <v>63</v>
      </c>
      <c r="D286" s="7">
        <v>2797</v>
      </c>
      <c r="E286" s="7">
        <v>942</v>
      </c>
      <c r="F286" s="7">
        <v>5719</v>
      </c>
      <c r="G286" s="7">
        <v>581534.41</v>
      </c>
      <c r="H286" s="7">
        <v>522834.85</v>
      </c>
      <c r="I286" s="7">
        <v>58700.18</v>
      </c>
      <c r="J286" s="7">
        <v>67017.3</v>
      </c>
      <c r="K286" s="7">
        <v>1498</v>
      </c>
      <c r="L286" s="7">
        <v>617.34</v>
      </c>
      <c r="M286" s="7">
        <v>555.03</v>
      </c>
      <c r="N286" s="7">
        <v>0.12818062912217881</v>
      </c>
      <c r="O286" s="7">
        <v>0.53557382910260998</v>
      </c>
    </row>
    <row r="287" spans="1:15">
      <c r="A287" s="7" t="s">
        <v>84</v>
      </c>
      <c r="B287" s="7" t="s">
        <v>77</v>
      </c>
      <c r="C287" s="7" t="s">
        <v>30</v>
      </c>
      <c r="D287" s="7">
        <v>2763</v>
      </c>
      <c r="E287" s="7">
        <v>928</v>
      </c>
      <c r="F287" s="7">
        <v>6082</v>
      </c>
      <c r="G287" s="7">
        <v>547482.5</v>
      </c>
      <c r="H287" s="7">
        <v>491967.89</v>
      </c>
      <c r="I287" s="7">
        <v>55515.41</v>
      </c>
      <c r="J287" s="7">
        <v>62962.400000000001</v>
      </c>
      <c r="K287" s="7">
        <v>1545</v>
      </c>
      <c r="L287" s="7">
        <v>589.96</v>
      </c>
      <c r="M287" s="7">
        <v>530.14</v>
      </c>
      <c r="N287" s="7">
        <v>0.12798071028578714</v>
      </c>
      <c r="O287" s="7">
        <v>0.55917480998914226</v>
      </c>
    </row>
    <row r="288" spans="1:15">
      <c r="A288" s="7" t="s">
        <v>84</v>
      </c>
      <c r="B288" s="7" t="s">
        <v>77</v>
      </c>
      <c r="C288" s="7" t="s">
        <v>33</v>
      </c>
      <c r="D288" s="7">
        <v>2418</v>
      </c>
      <c r="E288" s="7">
        <v>815</v>
      </c>
      <c r="F288" s="7">
        <v>5309</v>
      </c>
      <c r="G288" s="7">
        <v>476562.84</v>
      </c>
      <c r="H288" s="7">
        <v>428519.87</v>
      </c>
      <c r="I288" s="7">
        <v>48043.58</v>
      </c>
      <c r="J288" s="7">
        <v>50244.79</v>
      </c>
      <c r="K288" s="7">
        <v>1341</v>
      </c>
      <c r="L288" s="7">
        <v>584.74</v>
      </c>
      <c r="M288" s="7">
        <v>525.79</v>
      </c>
      <c r="N288" s="7">
        <v>0.11725194913365394</v>
      </c>
      <c r="O288" s="7">
        <v>0.55459057071960294</v>
      </c>
    </row>
    <row r="289" spans="1:15">
      <c r="A289" s="7" t="s">
        <v>84</v>
      </c>
      <c r="B289" s="7" t="s">
        <v>77</v>
      </c>
      <c r="C289" s="7" t="s">
        <v>35</v>
      </c>
      <c r="D289" s="7">
        <v>2795</v>
      </c>
      <c r="E289" s="7">
        <v>946</v>
      </c>
      <c r="F289" s="7">
        <v>6465</v>
      </c>
      <c r="G289" s="7">
        <v>548665.65</v>
      </c>
      <c r="H289" s="7">
        <v>492583.95</v>
      </c>
      <c r="I289" s="7">
        <v>56082.42</v>
      </c>
      <c r="J289" s="7">
        <v>54391.32</v>
      </c>
      <c r="K289" s="7">
        <v>1550</v>
      </c>
      <c r="L289" s="7">
        <v>579.98</v>
      </c>
      <c r="M289" s="7">
        <v>520.70000000000005</v>
      </c>
      <c r="N289" s="7">
        <v>0.110420406511418</v>
      </c>
      <c r="O289" s="7">
        <v>0.554561717352415</v>
      </c>
    </row>
    <row r="290" spans="1:15">
      <c r="A290" s="7" t="s">
        <v>84</v>
      </c>
      <c r="B290" s="7" t="s">
        <v>77</v>
      </c>
      <c r="C290" s="7" t="s">
        <v>36</v>
      </c>
      <c r="D290" s="7">
        <v>2728</v>
      </c>
      <c r="E290" s="7">
        <v>907</v>
      </c>
      <c r="F290" s="7">
        <v>6023</v>
      </c>
      <c r="G290" s="7">
        <v>546105.86</v>
      </c>
      <c r="H290" s="7">
        <v>491956.84</v>
      </c>
      <c r="I290" s="7">
        <v>54149.760000000002</v>
      </c>
      <c r="J290" s="7">
        <v>60452.13</v>
      </c>
      <c r="K290" s="7">
        <v>1484</v>
      </c>
      <c r="L290" s="7">
        <v>602.1</v>
      </c>
      <c r="M290" s="7">
        <v>542.4</v>
      </c>
      <c r="N290" s="7">
        <v>0.12288096248443256</v>
      </c>
      <c r="O290" s="7">
        <v>0.54398826979472137</v>
      </c>
    </row>
    <row r="291" spans="1:15">
      <c r="A291" s="7" t="s">
        <v>84</v>
      </c>
      <c r="B291" s="7" t="s">
        <v>77</v>
      </c>
      <c r="C291" s="7" t="s">
        <v>37</v>
      </c>
      <c r="D291" s="7">
        <v>2663</v>
      </c>
      <c r="E291" s="7">
        <v>884</v>
      </c>
      <c r="F291" s="7">
        <v>5988</v>
      </c>
      <c r="G291" s="7">
        <v>518669.8</v>
      </c>
      <c r="H291" s="7">
        <v>466933.23</v>
      </c>
      <c r="I291" s="7">
        <v>51737.120000000003</v>
      </c>
      <c r="J291" s="7">
        <v>53852.56</v>
      </c>
      <c r="K291" s="7">
        <v>1455</v>
      </c>
      <c r="L291" s="7">
        <v>586.73</v>
      </c>
      <c r="M291" s="7">
        <v>528.21</v>
      </c>
      <c r="N291" s="7">
        <v>0.11533246412982859</v>
      </c>
      <c r="O291" s="7">
        <v>0.54637626736763045</v>
      </c>
    </row>
    <row r="292" spans="1:15">
      <c r="A292" s="7" t="s">
        <v>84</v>
      </c>
      <c r="B292" s="7" t="s">
        <v>77</v>
      </c>
      <c r="C292" s="7" t="s">
        <v>58</v>
      </c>
      <c r="D292" s="7">
        <v>1278</v>
      </c>
      <c r="E292" s="7">
        <v>417</v>
      </c>
      <c r="F292" s="7">
        <v>2847</v>
      </c>
      <c r="G292" s="7">
        <v>253668.72</v>
      </c>
      <c r="H292" s="7">
        <v>228256.73</v>
      </c>
      <c r="I292" s="7">
        <v>25412.25</v>
      </c>
      <c r="J292" s="7">
        <v>25912.720000000001</v>
      </c>
      <c r="K292" s="7">
        <v>675</v>
      </c>
      <c r="L292" s="7">
        <v>608.32000000000005</v>
      </c>
      <c r="M292" s="7">
        <v>547.38</v>
      </c>
      <c r="N292" s="7">
        <v>0.11352445117390406</v>
      </c>
      <c r="O292" s="7">
        <v>0.528169014084507</v>
      </c>
    </row>
    <row r="293" spans="1:15">
      <c r="A293" s="7" t="s">
        <v>84</v>
      </c>
      <c r="B293" s="7" t="s">
        <v>77</v>
      </c>
      <c r="C293" s="7" t="s">
        <v>59</v>
      </c>
      <c r="D293" s="7">
        <v>2455</v>
      </c>
      <c r="E293" s="7">
        <v>825</v>
      </c>
      <c r="F293" s="7">
        <v>5522</v>
      </c>
      <c r="G293" s="7">
        <v>491386.43</v>
      </c>
      <c r="H293" s="7">
        <v>442311.89</v>
      </c>
      <c r="I293" s="7">
        <v>49075.18</v>
      </c>
      <c r="J293" s="7">
        <v>55119.85</v>
      </c>
      <c r="K293" s="7">
        <v>1311</v>
      </c>
      <c r="L293" s="7">
        <v>595.62</v>
      </c>
      <c r="M293" s="7">
        <v>536.14</v>
      </c>
      <c r="N293" s="7">
        <v>0.12461760862906036</v>
      </c>
      <c r="O293" s="7">
        <v>0.53401221995926684</v>
      </c>
    </row>
    <row r="294" spans="1:15">
      <c r="A294" s="7" t="s">
        <v>84</v>
      </c>
      <c r="B294" s="7" t="s">
        <v>77</v>
      </c>
      <c r="C294" s="7" t="s">
        <v>60</v>
      </c>
      <c r="D294" s="7">
        <v>2604</v>
      </c>
      <c r="E294" s="7">
        <v>871</v>
      </c>
      <c r="F294" s="7">
        <v>5678</v>
      </c>
      <c r="G294" s="7">
        <v>508047.42</v>
      </c>
      <c r="H294" s="7">
        <v>455757.88</v>
      </c>
      <c r="I294" s="7">
        <v>52290.25</v>
      </c>
      <c r="J294" s="7">
        <v>54047.58</v>
      </c>
      <c r="K294" s="7">
        <v>1475</v>
      </c>
      <c r="L294" s="7">
        <v>583.29</v>
      </c>
      <c r="M294" s="7">
        <v>523.26</v>
      </c>
      <c r="N294" s="7">
        <v>0.11858836099553562</v>
      </c>
      <c r="O294" s="7">
        <v>0.56643625192012292</v>
      </c>
    </row>
    <row r="295" spans="1:15">
      <c r="A295" s="7" t="s">
        <v>84</v>
      </c>
      <c r="B295" s="7" t="s">
        <v>77</v>
      </c>
      <c r="C295" s="7" t="s">
        <v>61</v>
      </c>
      <c r="D295" s="7">
        <v>2795</v>
      </c>
      <c r="E295" s="7">
        <v>923</v>
      </c>
      <c r="F295" s="7">
        <v>5979</v>
      </c>
      <c r="G295" s="7">
        <v>553031.43999999994</v>
      </c>
      <c r="H295" s="7">
        <v>496275.86</v>
      </c>
      <c r="I295" s="7">
        <v>56756.3</v>
      </c>
      <c r="J295" s="7">
        <v>64501.54</v>
      </c>
      <c r="K295" s="7">
        <v>1470</v>
      </c>
      <c r="L295" s="7">
        <v>599.16999999999996</v>
      </c>
      <c r="M295" s="7">
        <v>537.67999999999995</v>
      </c>
      <c r="N295" s="7">
        <v>0.12997114145346503</v>
      </c>
      <c r="O295" s="7">
        <v>0.5259391771019678</v>
      </c>
    </row>
    <row r="296" spans="1:15">
      <c r="A296" s="7" t="s">
        <v>84</v>
      </c>
      <c r="B296" s="7" t="s">
        <v>77</v>
      </c>
      <c r="C296" s="7" t="s">
        <v>62</v>
      </c>
      <c r="D296" s="7">
        <v>2687</v>
      </c>
      <c r="E296" s="7">
        <v>895</v>
      </c>
      <c r="F296" s="7">
        <v>5635</v>
      </c>
      <c r="G296" s="7">
        <v>555613.62</v>
      </c>
      <c r="H296" s="7">
        <v>498873.03</v>
      </c>
      <c r="I296" s="7">
        <v>56741.21</v>
      </c>
      <c r="J296" s="7">
        <v>54896.79</v>
      </c>
      <c r="K296" s="7">
        <v>1459</v>
      </c>
      <c r="L296" s="7">
        <v>620.79999999999995</v>
      </c>
      <c r="M296" s="7">
        <v>557.4</v>
      </c>
      <c r="N296" s="7">
        <v>0.11004160718008749</v>
      </c>
      <c r="O296" s="7">
        <v>0.54298474134722741</v>
      </c>
    </row>
    <row r="297" spans="1:15">
      <c r="A297" s="7" t="s">
        <v>84</v>
      </c>
      <c r="B297" s="7" t="s">
        <v>77</v>
      </c>
      <c r="C297" s="7" t="s">
        <v>63</v>
      </c>
      <c r="D297" s="7">
        <v>1412</v>
      </c>
      <c r="E297" s="7">
        <v>473</v>
      </c>
      <c r="F297" s="7">
        <v>2817</v>
      </c>
      <c r="G297" s="7">
        <v>290404.40000000002</v>
      </c>
      <c r="H297" s="7">
        <v>261291.18</v>
      </c>
      <c r="I297" s="7">
        <v>29113.49</v>
      </c>
      <c r="J297" s="7">
        <v>31864.53</v>
      </c>
      <c r="K297" s="7">
        <v>760</v>
      </c>
      <c r="L297" s="7">
        <v>613.96</v>
      </c>
      <c r="M297" s="7">
        <v>552.41</v>
      </c>
      <c r="N297" s="7">
        <v>0.12195027019281707</v>
      </c>
      <c r="O297" s="7">
        <v>0.5382436260623229</v>
      </c>
    </row>
    <row r="298" spans="1:15">
      <c r="A298" s="7" t="s">
        <v>84</v>
      </c>
      <c r="B298" s="7" t="s">
        <v>78</v>
      </c>
      <c r="C298" s="7" t="s">
        <v>30</v>
      </c>
      <c r="D298" s="7">
        <v>1613</v>
      </c>
      <c r="E298" s="7">
        <v>528</v>
      </c>
      <c r="F298" s="7">
        <v>3673</v>
      </c>
      <c r="G298" s="7">
        <v>317973.65999999997</v>
      </c>
      <c r="H298" s="7">
        <v>286082.84999999998</v>
      </c>
      <c r="I298" s="7">
        <v>31891.23</v>
      </c>
      <c r="J298" s="7">
        <v>28959.29</v>
      </c>
      <c r="K298" s="7">
        <v>830</v>
      </c>
      <c r="L298" s="7">
        <v>602.22</v>
      </c>
      <c r="M298" s="7">
        <v>541.82000000000005</v>
      </c>
      <c r="N298" s="7">
        <v>0.10122693478480099</v>
      </c>
      <c r="O298" s="7">
        <v>0.51456912585244885</v>
      </c>
    </row>
    <row r="299" spans="1:15">
      <c r="A299" s="7" t="s">
        <v>84</v>
      </c>
      <c r="B299" s="7" t="s">
        <v>78</v>
      </c>
      <c r="C299" s="7" t="s">
        <v>33</v>
      </c>
      <c r="D299" s="7">
        <v>1403</v>
      </c>
      <c r="E299" s="7">
        <v>475</v>
      </c>
      <c r="F299" s="7">
        <v>3165</v>
      </c>
      <c r="G299" s="7">
        <v>274771.08</v>
      </c>
      <c r="H299" s="7">
        <v>246212.44</v>
      </c>
      <c r="I299" s="7">
        <v>28559.01</v>
      </c>
      <c r="J299" s="7">
        <v>32128.639999999999</v>
      </c>
      <c r="K299" s="7">
        <v>766</v>
      </c>
      <c r="L299" s="7">
        <v>578.47</v>
      </c>
      <c r="M299" s="7">
        <v>518.34</v>
      </c>
      <c r="N299" s="7">
        <v>0.13049153812049463</v>
      </c>
      <c r="O299" s="7">
        <v>0.54597291518175339</v>
      </c>
    </row>
    <row r="300" spans="1:15">
      <c r="A300" s="7" t="s">
        <v>84</v>
      </c>
      <c r="B300" s="7" t="s">
        <v>78</v>
      </c>
      <c r="C300" s="7" t="s">
        <v>35</v>
      </c>
      <c r="D300" s="7">
        <v>1628</v>
      </c>
      <c r="E300" s="7">
        <v>524</v>
      </c>
      <c r="F300" s="7">
        <v>3598</v>
      </c>
      <c r="G300" s="7">
        <v>321220.89</v>
      </c>
      <c r="H300" s="7">
        <v>287395.76</v>
      </c>
      <c r="I300" s="7">
        <v>33825.519999999997</v>
      </c>
      <c r="J300" s="7">
        <v>39504.57</v>
      </c>
      <c r="K300" s="7">
        <v>884</v>
      </c>
      <c r="L300" s="7">
        <v>613.02</v>
      </c>
      <c r="M300" s="7">
        <v>548.47</v>
      </c>
      <c r="N300" s="7">
        <v>0.13745703833626494</v>
      </c>
      <c r="O300" s="7">
        <v>0.54299754299754299</v>
      </c>
    </row>
    <row r="301" spans="1:15">
      <c r="A301" s="7" t="s">
        <v>84</v>
      </c>
      <c r="B301" s="7" t="s">
        <v>78</v>
      </c>
      <c r="C301" s="7" t="s">
        <v>36</v>
      </c>
      <c r="D301" s="7">
        <v>1487</v>
      </c>
      <c r="E301" s="7">
        <v>500</v>
      </c>
      <c r="F301" s="7">
        <v>3289</v>
      </c>
      <c r="G301" s="7">
        <v>292889.83</v>
      </c>
      <c r="H301" s="7">
        <v>262923.83</v>
      </c>
      <c r="I301" s="7">
        <v>29966.34</v>
      </c>
      <c r="J301" s="7">
        <v>29448.55</v>
      </c>
      <c r="K301" s="7">
        <v>816</v>
      </c>
      <c r="L301" s="7">
        <v>585.78</v>
      </c>
      <c r="M301" s="7">
        <v>525.85</v>
      </c>
      <c r="N301" s="7">
        <v>0.11200411160905421</v>
      </c>
      <c r="O301" s="7">
        <v>0.54875588433086753</v>
      </c>
    </row>
    <row r="302" spans="1:15">
      <c r="A302" s="7" t="s">
        <v>84</v>
      </c>
      <c r="B302" s="7" t="s">
        <v>78</v>
      </c>
      <c r="C302" s="7" t="s">
        <v>37</v>
      </c>
      <c r="D302" s="7">
        <v>1636</v>
      </c>
      <c r="E302" s="7">
        <v>537</v>
      </c>
      <c r="F302" s="7">
        <v>3583</v>
      </c>
      <c r="G302" s="7">
        <v>324420.26</v>
      </c>
      <c r="H302" s="7">
        <v>290940.15999999997</v>
      </c>
      <c r="I302" s="7">
        <v>33480.54</v>
      </c>
      <c r="J302" s="7">
        <v>33116.71</v>
      </c>
      <c r="K302" s="7">
        <v>948</v>
      </c>
      <c r="L302" s="7">
        <v>604.13</v>
      </c>
      <c r="M302" s="7">
        <v>541.79</v>
      </c>
      <c r="N302" s="7">
        <v>0.11382653395117399</v>
      </c>
      <c r="O302" s="7">
        <v>0.5794621026894865</v>
      </c>
    </row>
    <row r="303" spans="1:15">
      <c r="A303" s="7" t="s">
        <v>84</v>
      </c>
      <c r="B303" s="7" t="s">
        <v>78</v>
      </c>
      <c r="C303" s="7" t="s">
        <v>58</v>
      </c>
      <c r="D303" s="7">
        <v>610</v>
      </c>
      <c r="E303" s="7">
        <v>207</v>
      </c>
      <c r="F303" s="7">
        <v>1340</v>
      </c>
      <c r="G303" s="7">
        <v>120794.89</v>
      </c>
      <c r="H303" s="7">
        <v>108629.75</v>
      </c>
      <c r="I303" s="7">
        <v>12165.3</v>
      </c>
      <c r="J303" s="7">
        <v>14241.07</v>
      </c>
      <c r="K303" s="7">
        <v>340</v>
      </c>
      <c r="L303" s="7">
        <v>583.54999999999995</v>
      </c>
      <c r="M303" s="7">
        <v>524.78</v>
      </c>
      <c r="N303" s="7">
        <v>0.13109732831015444</v>
      </c>
      <c r="O303" s="7">
        <v>0.55737704918032782</v>
      </c>
    </row>
    <row r="304" spans="1:15">
      <c r="A304" s="7" t="s">
        <v>84</v>
      </c>
      <c r="B304" s="7" t="s">
        <v>78</v>
      </c>
      <c r="C304" s="7" t="s">
        <v>59</v>
      </c>
      <c r="D304" s="7">
        <v>1601</v>
      </c>
      <c r="E304" s="7">
        <v>501</v>
      </c>
      <c r="F304" s="7">
        <v>3618</v>
      </c>
      <c r="G304" s="7">
        <v>325899.2</v>
      </c>
      <c r="H304" s="7">
        <v>292328.89</v>
      </c>
      <c r="I304" s="7">
        <v>33570.699999999997</v>
      </c>
      <c r="J304" s="7">
        <v>39792.71</v>
      </c>
      <c r="K304" s="7">
        <v>881</v>
      </c>
      <c r="L304" s="7">
        <v>650.5</v>
      </c>
      <c r="M304" s="7">
        <v>583.49</v>
      </c>
      <c r="N304" s="7">
        <v>0.13612308383204957</v>
      </c>
      <c r="O304" s="7">
        <v>0.55028107432854467</v>
      </c>
    </row>
    <row r="305" spans="1:15">
      <c r="A305" s="7" t="s">
        <v>84</v>
      </c>
      <c r="B305" s="7" t="s">
        <v>78</v>
      </c>
      <c r="C305" s="7" t="s">
        <v>60</v>
      </c>
      <c r="D305" s="7">
        <v>1714</v>
      </c>
      <c r="E305" s="7">
        <v>573</v>
      </c>
      <c r="F305" s="7">
        <v>3769</v>
      </c>
      <c r="G305" s="7">
        <v>335368.65000000002</v>
      </c>
      <c r="H305" s="7">
        <v>302171.23</v>
      </c>
      <c r="I305" s="7">
        <v>33197.79</v>
      </c>
      <c r="J305" s="7">
        <v>39134.97</v>
      </c>
      <c r="K305" s="7">
        <v>881</v>
      </c>
      <c r="L305" s="7">
        <v>585.29</v>
      </c>
      <c r="M305" s="7">
        <v>527.35</v>
      </c>
      <c r="N305" s="7">
        <v>0.12951256147052784</v>
      </c>
      <c r="O305" s="7">
        <v>0.5140023337222871</v>
      </c>
    </row>
    <row r="306" spans="1:15">
      <c r="A306" s="7" t="s">
        <v>84</v>
      </c>
      <c r="B306" s="7" t="s">
        <v>78</v>
      </c>
      <c r="C306" s="7" t="s">
        <v>61</v>
      </c>
      <c r="D306" s="7">
        <v>1475</v>
      </c>
      <c r="E306" s="7">
        <v>493</v>
      </c>
      <c r="F306" s="7">
        <v>3177</v>
      </c>
      <c r="G306" s="7">
        <v>295931.40000000002</v>
      </c>
      <c r="H306" s="7">
        <v>265532.86</v>
      </c>
      <c r="I306" s="7">
        <v>30398.93</v>
      </c>
      <c r="J306" s="7">
        <v>31574.6</v>
      </c>
      <c r="K306" s="7">
        <v>810</v>
      </c>
      <c r="L306" s="7">
        <v>600.27</v>
      </c>
      <c r="M306" s="7">
        <v>538.61</v>
      </c>
      <c r="N306" s="7">
        <v>0.11891032996820054</v>
      </c>
      <c r="O306" s="7">
        <v>0.54915254237288136</v>
      </c>
    </row>
    <row r="307" spans="1:15">
      <c r="A307" s="7" t="s">
        <v>84</v>
      </c>
      <c r="B307" s="7" t="s">
        <v>78</v>
      </c>
      <c r="C307" s="7" t="s">
        <v>62</v>
      </c>
      <c r="D307" s="7">
        <v>1692</v>
      </c>
      <c r="E307" s="7">
        <v>561</v>
      </c>
      <c r="F307" s="7">
        <v>3454</v>
      </c>
      <c r="G307" s="7">
        <v>355405.75</v>
      </c>
      <c r="H307" s="7">
        <v>319789.13</v>
      </c>
      <c r="I307" s="7">
        <v>35617.03</v>
      </c>
      <c r="J307" s="7">
        <v>41593.1</v>
      </c>
      <c r="K307" s="7">
        <v>870</v>
      </c>
      <c r="L307" s="7">
        <v>633.52</v>
      </c>
      <c r="M307" s="7">
        <v>570.03</v>
      </c>
      <c r="N307" s="7">
        <v>0.1300641457075167</v>
      </c>
      <c r="O307" s="7">
        <v>0.51418439716312059</v>
      </c>
    </row>
    <row r="308" spans="1:15">
      <c r="A308" s="7" t="s">
        <v>84</v>
      </c>
      <c r="B308" s="7" t="s">
        <v>78</v>
      </c>
      <c r="C308" s="7" t="s">
        <v>63</v>
      </c>
      <c r="D308" s="7">
        <v>840</v>
      </c>
      <c r="E308" s="7">
        <v>285</v>
      </c>
      <c r="F308" s="7">
        <v>1791</v>
      </c>
      <c r="G308" s="7">
        <v>174439.17</v>
      </c>
      <c r="H308" s="7">
        <v>156489.82999999999</v>
      </c>
      <c r="I308" s="7">
        <v>17949.55</v>
      </c>
      <c r="J308" s="7">
        <v>21079.61</v>
      </c>
      <c r="K308" s="7">
        <v>427</v>
      </c>
      <c r="L308" s="7">
        <v>612.07000000000005</v>
      </c>
      <c r="M308" s="7">
        <v>549.09</v>
      </c>
      <c r="N308" s="7">
        <v>0.13470274713698646</v>
      </c>
      <c r="O308" s="7">
        <v>0.5083333333333333</v>
      </c>
    </row>
    <row r="309" spans="1:15">
      <c r="A309" s="7" t="s">
        <v>84</v>
      </c>
      <c r="B309" s="7" t="s">
        <v>79</v>
      </c>
      <c r="C309" s="7" t="s">
        <v>30</v>
      </c>
      <c r="D309" s="7">
        <v>946</v>
      </c>
      <c r="E309" s="7">
        <v>331</v>
      </c>
      <c r="F309" s="7">
        <v>2099</v>
      </c>
      <c r="G309" s="7">
        <v>186133.9</v>
      </c>
      <c r="H309" s="7">
        <v>167331.41</v>
      </c>
      <c r="I309" s="7">
        <v>18802.64</v>
      </c>
      <c r="J309" s="7">
        <v>19739.05</v>
      </c>
      <c r="K309" s="7">
        <v>505</v>
      </c>
      <c r="L309" s="7">
        <v>562.34</v>
      </c>
      <c r="M309" s="7">
        <v>505.53</v>
      </c>
      <c r="N309" s="7">
        <v>0.11796380607801009</v>
      </c>
      <c r="O309" s="7">
        <v>0.53382663847780132</v>
      </c>
    </row>
    <row r="310" spans="1:15">
      <c r="A310" s="7" t="s">
        <v>84</v>
      </c>
      <c r="B310" s="7" t="s">
        <v>79</v>
      </c>
      <c r="C310" s="7" t="s">
        <v>33</v>
      </c>
      <c r="D310" s="7">
        <v>908</v>
      </c>
      <c r="E310" s="7">
        <v>295</v>
      </c>
      <c r="F310" s="7">
        <v>1964</v>
      </c>
      <c r="G310" s="7">
        <v>175675.96</v>
      </c>
      <c r="H310" s="7">
        <v>158280.10999999999</v>
      </c>
      <c r="I310" s="7">
        <v>17395.98</v>
      </c>
      <c r="J310" s="7">
        <v>16767.23</v>
      </c>
      <c r="K310" s="7">
        <v>487</v>
      </c>
      <c r="L310" s="7">
        <v>595.51</v>
      </c>
      <c r="M310" s="7">
        <v>536.54</v>
      </c>
      <c r="N310" s="7">
        <v>0.1059339041399453</v>
      </c>
      <c r="O310" s="7">
        <v>0.53634361233480177</v>
      </c>
    </row>
    <row r="311" spans="1:15">
      <c r="A311" s="7" t="s">
        <v>84</v>
      </c>
      <c r="B311" s="7" t="s">
        <v>79</v>
      </c>
      <c r="C311" s="7" t="s">
        <v>35</v>
      </c>
      <c r="D311" s="7">
        <v>939</v>
      </c>
      <c r="E311" s="7">
        <v>311</v>
      </c>
      <c r="F311" s="7">
        <v>1999</v>
      </c>
      <c r="G311" s="7">
        <v>181367.13</v>
      </c>
      <c r="H311" s="7">
        <v>164070.39000000001</v>
      </c>
      <c r="I311" s="7">
        <v>17296.939999999999</v>
      </c>
      <c r="J311" s="7">
        <v>19882.32</v>
      </c>
      <c r="K311" s="7">
        <v>502</v>
      </c>
      <c r="L311" s="7">
        <v>583.16999999999996</v>
      </c>
      <c r="M311" s="7">
        <v>527.55999999999995</v>
      </c>
      <c r="N311" s="7">
        <v>0.12118164648721806</v>
      </c>
      <c r="O311" s="7">
        <v>0.53461128860489882</v>
      </c>
    </row>
    <row r="312" spans="1:15">
      <c r="A312" s="7" t="s">
        <v>84</v>
      </c>
      <c r="B312" s="7" t="s">
        <v>79</v>
      </c>
      <c r="C312" s="7" t="s">
        <v>36</v>
      </c>
      <c r="D312" s="7">
        <v>911</v>
      </c>
      <c r="E312" s="7">
        <v>303</v>
      </c>
      <c r="F312" s="7">
        <v>1975</v>
      </c>
      <c r="G312" s="7">
        <v>175467.57</v>
      </c>
      <c r="H312" s="7">
        <v>157123.72</v>
      </c>
      <c r="I312" s="7">
        <v>18344.060000000001</v>
      </c>
      <c r="J312" s="7">
        <v>18183</v>
      </c>
      <c r="K312" s="7">
        <v>460</v>
      </c>
      <c r="L312" s="7">
        <v>579.1</v>
      </c>
      <c r="M312" s="7">
        <v>518.55999999999995</v>
      </c>
      <c r="N312" s="7">
        <v>0.115724093090464</v>
      </c>
      <c r="O312" s="7">
        <v>0.50493962678375415</v>
      </c>
    </row>
    <row r="313" spans="1:15">
      <c r="A313" s="7" t="s">
        <v>84</v>
      </c>
      <c r="B313" s="7" t="s">
        <v>79</v>
      </c>
      <c r="C313" s="7" t="s">
        <v>37</v>
      </c>
      <c r="D313" s="7">
        <v>937</v>
      </c>
      <c r="E313" s="7">
        <v>314</v>
      </c>
      <c r="F313" s="7">
        <v>2076</v>
      </c>
      <c r="G313" s="7">
        <v>184781.44</v>
      </c>
      <c r="H313" s="7">
        <v>165835.09</v>
      </c>
      <c r="I313" s="7">
        <v>18946.59</v>
      </c>
      <c r="J313" s="7">
        <v>22221.18</v>
      </c>
      <c r="K313" s="7">
        <v>474</v>
      </c>
      <c r="L313" s="7">
        <v>588.48</v>
      </c>
      <c r="M313" s="7">
        <v>528.14</v>
      </c>
      <c r="N313" s="7">
        <v>0.13399564591546939</v>
      </c>
      <c r="O313" s="7">
        <v>0.50586979722518677</v>
      </c>
    </row>
    <row r="314" spans="1:15">
      <c r="A314" s="7" t="s">
        <v>84</v>
      </c>
      <c r="B314" s="7" t="s">
        <v>79</v>
      </c>
      <c r="C314" s="7" t="s">
        <v>58</v>
      </c>
      <c r="D314" s="7">
        <v>352</v>
      </c>
      <c r="E314" s="7">
        <v>119</v>
      </c>
      <c r="F314" s="7">
        <v>780</v>
      </c>
      <c r="G314" s="7">
        <v>65079.71</v>
      </c>
      <c r="H314" s="7">
        <v>58151.19</v>
      </c>
      <c r="I314" s="7">
        <v>6928.62</v>
      </c>
      <c r="J314" s="7">
        <v>9521.11</v>
      </c>
      <c r="K314" s="7">
        <v>201</v>
      </c>
      <c r="L314" s="7">
        <v>546.89</v>
      </c>
      <c r="M314" s="7">
        <v>488.67</v>
      </c>
      <c r="N314" s="7">
        <v>0.16373026932036988</v>
      </c>
      <c r="O314" s="7">
        <v>0.57102272727272729</v>
      </c>
    </row>
    <row r="315" spans="1:15">
      <c r="A315" s="7" t="s">
        <v>84</v>
      </c>
      <c r="B315" s="7" t="s">
        <v>79</v>
      </c>
      <c r="C315" s="7" t="s">
        <v>59</v>
      </c>
      <c r="D315" s="7">
        <v>850</v>
      </c>
      <c r="E315" s="7">
        <v>288</v>
      </c>
      <c r="F315" s="7">
        <v>1930</v>
      </c>
      <c r="G315" s="7">
        <v>175249.25</v>
      </c>
      <c r="H315" s="7">
        <v>157283.5</v>
      </c>
      <c r="I315" s="7">
        <v>17965.93</v>
      </c>
      <c r="J315" s="7">
        <v>20198.509999999998</v>
      </c>
      <c r="K315" s="7">
        <v>490</v>
      </c>
      <c r="L315" s="7">
        <v>608.5</v>
      </c>
      <c r="M315" s="7">
        <v>546.12</v>
      </c>
      <c r="N315" s="7">
        <v>0.12842103590014209</v>
      </c>
      <c r="O315" s="7">
        <v>0.57647058823529407</v>
      </c>
    </row>
    <row r="316" spans="1:15">
      <c r="A316" s="7" t="s">
        <v>84</v>
      </c>
      <c r="B316" s="7" t="s">
        <v>79</v>
      </c>
      <c r="C316" s="7" t="s">
        <v>60</v>
      </c>
      <c r="D316" s="7">
        <v>1029</v>
      </c>
      <c r="E316" s="7">
        <v>338</v>
      </c>
      <c r="F316" s="7">
        <v>2229</v>
      </c>
      <c r="G316" s="7">
        <v>204588.69</v>
      </c>
      <c r="H316" s="7">
        <v>184361.31</v>
      </c>
      <c r="I316" s="7">
        <v>20227.59</v>
      </c>
      <c r="J316" s="7">
        <v>25506.35</v>
      </c>
      <c r="K316" s="7">
        <v>599</v>
      </c>
      <c r="L316" s="7">
        <v>605.29</v>
      </c>
      <c r="M316" s="7">
        <v>545.45000000000005</v>
      </c>
      <c r="N316" s="7">
        <v>0.13834979801347691</v>
      </c>
      <c r="O316" s="7">
        <v>0.58211856171039844</v>
      </c>
    </row>
    <row r="317" spans="1:15">
      <c r="A317" s="7" t="s">
        <v>84</v>
      </c>
      <c r="B317" s="7" t="s">
        <v>79</v>
      </c>
      <c r="C317" s="7" t="s">
        <v>61</v>
      </c>
      <c r="D317" s="7">
        <v>942</v>
      </c>
      <c r="E317" s="7">
        <v>323</v>
      </c>
      <c r="F317" s="7">
        <v>2033</v>
      </c>
      <c r="G317" s="7">
        <v>189358.76</v>
      </c>
      <c r="H317" s="7">
        <v>170509.47</v>
      </c>
      <c r="I317" s="7">
        <v>18849.46</v>
      </c>
      <c r="J317" s="7">
        <v>19884.919999999998</v>
      </c>
      <c r="K317" s="7">
        <v>523</v>
      </c>
      <c r="L317" s="7">
        <v>586.25</v>
      </c>
      <c r="M317" s="7">
        <v>527.89</v>
      </c>
      <c r="N317" s="7">
        <v>0.11662061937087718</v>
      </c>
      <c r="O317" s="7">
        <v>0.55520169851380041</v>
      </c>
    </row>
    <row r="318" spans="1:15">
      <c r="A318" s="7" t="s">
        <v>84</v>
      </c>
      <c r="B318" s="7" t="s">
        <v>79</v>
      </c>
      <c r="C318" s="7" t="s">
        <v>62</v>
      </c>
      <c r="D318" s="7">
        <v>938</v>
      </c>
      <c r="E318" s="7">
        <v>307</v>
      </c>
      <c r="F318" s="7">
        <v>1944</v>
      </c>
      <c r="G318" s="7">
        <v>194465.93</v>
      </c>
      <c r="H318" s="7">
        <v>174536.88</v>
      </c>
      <c r="I318" s="7">
        <v>19929.29</v>
      </c>
      <c r="J318" s="7">
        <v>18524.75</v>
      </c>
      <c r="K318" s="7">
        <v>514</v>
      </c>
      <c r="L318" s="7">
        <v>633.44000000000005</v>
      </c>
      <c r="M318" s="7">
        <v>568.52</v>
      </c>
      <c r="N318" s="7">
        <v>0.10613659416852186</v>
      </c>
      <c r="O318" s="7">
        <v>0.54797441364605548</v>
      </c>
    </row>
    <row r="319" spans="1:15">
      <c r="A319" s="7" t="s">
        <v>84</v>
      </c>
      <c r="B319" s="7" t="s">
        <v>79</v>
      </c>
      <c r="C319" s="7" t="s">
        <v>63</v>
      </c>
      <c r="D319" s="7">
        <v>545</v>
      </c>
      <c r="E319" s="7">
        <v>184</v>
      </c>
      <c r="F319" s="7">
        <v>1111</v>
      </c>
      <c r="G319" s="7">
        <v>116690.84</v>
      </c>
      <c r="H319" s="7">
        <v>105053.84</v>
      </c>
      <c r="I319" s="7">
        <v>11637.14</v>
      </c>
      <c r="J319" s="7">
        <v>14073.16</v>
      </c>
      <c r="K319" s="7">
        <v>311</v>
      </c>
      <c r="L319" s="7">
        <v>634.19000000000005</v>
      </c>
      <c r="M319" s="7">
        <v>570.94000000000005</v>
      </c>
      <c r="N319" s="7">
        <v>0.13396140493293723</v>
      </c>
      <c r="O319" s="7">
        <v>0.57064220183486236</v>
      </c>
    </row>
    <row r="320" spans="1:15">
      <c r="A320" s="7" t="s">
        <v>85</v>
      </c>
      <c r="B320" s="7" t="s">
        <v>2</v>
      </c>
      <c r="C320" s="7" t="s">
        <v>43</v>
      </c>
      <c r="D320" s="7">
        <v>1355</v>
      </c>
      <c r="E320" s="7">
        <v>457</v>
      </c>
      <c r="F320" s="7">
        <v>2938</v>
      </c>
      <c r="G320" s="7">
        <v>268276.40000000002</v>
      </c>
      <c r="H320" s="7">
        <v>241594.32</v>
      </c>
      <c r="I320" s="7">
        <v>26682.43</v>
      </c>
      <c r="J320" s="7">
        <v>27507</v>
      </c>
      <c r="K320" s="7">
        <v>741</v>
      </c>
      <c r="L320" s="7">
        <v>587.04</v>
      </c>
      <c r="M320" s="7">
        <v>528.65</v>
      </c>
      <c r="N320" s="7">
        <v>0.11385615357182238</v>
      </c>
      <c r="O320" s="7">
        <v>0.54686346863468638</v>
      </c>
    </row>
    <row r="321" spans="1:15">
      <c r="A321" s="7" t="s">
        <v>85</v>
      </c>
      <c r="B321" s="7" t="s">
        <v>2</v>
      </c>
      <c r="C321" s="7" t="s">
        <v>44</v>
      </c>
      <c r="D321" s="7">
        <v>5235</v>
      </c>
      <c r="E321" s="7">
        <v>1729</v>
      </c>
      <c r="F321" s="7">
        <v>11463</v>
      </c>
      <c r="G321" s="7">
        <v>1029120.22</v>
      </c>
      <c r="H321" s="7">
        <v>924602.56</v>
      </c>
      <c r="I321" s="7">
        <v>104518.97</v>
      </c>
      <c r="J321" s="7">
        <v>104427.36</v>
      </c>
      <c r="K321" s="7">
        <v>2841</v>
      </c>
      <c r="L321" s="7">
        <v>595.21</v>
      </c>
      <c r="M321" s="7">
        <v>534.76</v>
      </c>
      <c r="N321" s="7">
        <v>0.11294297086955934</v>
      </c>
      <c r="O321" s="7">
        <v>0.54269340974212033</v>
      </c>
    </row>
    <row r="322" spans="1:15">
      <c r="A322" s="7" t="s">
        <v>85</v>
      </c>
      <c r="B322" s="7" t="s">
        <v>2</v>
      </c>
      <c r="C322" s="7" t="s">
        <v>45</v>
      </c>
      <c r="D322" s="7">
        <v>5371</v>
      </c>
      <c r="E322" s="7">
        <v>1805</v>
      </c>
      <c r="F322" s="7">
        <v>11790</v>
      </c>
      <c r="G322" s="7">
        <v>1057840.8600000001</v>
      </c>
      <c r="H322" s="7">
        <v>950526.91</v>
      </c>
      <c r="I322" s="7">
        <v>107315.25</v>
      </c>
      <c r="J322" s="7">
        <v>110641.55</v>
      </c>
      <c r="K322" s="7">
        <v>2937</v>
      </c>
      <c r="L322" s="7">
        <v>586.05999999999995</v>
      </c>
      <c r="M322" s="7">
        <v>526.61</v>
      </c>
      <c r="N322" s="7">
        <v>0.11640022900561542</v>
      </c>
      <c r="O322" s="7">
        <v>0.54682554459132382</v>
      </c>
    </row>
    <row r="323" spans="1:15">
      <c r="A323" s="7" t="s">
        <v>85</v>
      </c>
      <c r="B323" s="7" t="s">
        <v>2</v>
      </c>
      <c r="C323" s="7" t="s">
        <v>46</v>
      </c>
      <c r="D323" s="7">
        <v>5317</v>
      </c>
      <c r="E323" s="7">
        <v>1772</v>
      </c>
      <c r="F323" s="7">
        <v>11597</v>
      </c>
      <c r="G323" s="7">
        <v>1046308.23</v>
      </c>
      <c r="H323" s="7">
        <v>940283.62</v>
      </c>
      <c r="I323" s="7">
        <v>106025.88</v>
      </c>
      <c r="J323" s="7">
        <v>106780.95</v>
      </c>
      <c r="K323" s="7">
        <v>2955</v>
      </c>
      <c r="L323" s="7">
        <v>590.47</v>
      </c>
      <c r="M323" s="7">
        <v>530.63</v>
      </c>
      <c r="N323" s="7">
        <v>0.1135624908578116</v>
      </c>
      <c r="O323" s="7">
        <v>0.55576452886966332</v>
      </c>
    </row>
    <row r="324" spans="1:15">
      <c r="A324" s="7" t="s">
        <v>85</v>
      </c>
      <c r="B324" s="7" t="s">
        <v>2</v>
      </c>
      <c r="C324" s="7" t="s">
        <v>47</v>
      </c>
      <c r="D324" s="7">
        <v>4894</v>
      </c>
      <c r="E324" s="7">
        <v>1650</v>
      </c>
      <c r="F324" s="7">
        <v>10765</v>
      </c>
      <c r="G324" s="7">
        <v>968542.83</v>
      </c>
      <c r="H324" s="7">
        <v>870116.74</v>
      </c>
      <c r="I324" s="7">
        <v>98427.3</v>
      </c>
      <c r="J324" s="7">
        <v>86809.49</v>
      </c>
      <c r="K324" s="7">
        <v>2650</v>
      </c>
      <c r="L324" s="7">
        <v>587</v>
      </c>
      <c r="M324" s="7">
        <v>527.34</v>
      </c>
      <c r="N324" s="7">
        <v>9.9767635777240654E-2</v>
      </c>
      <c r="O324" s="7">
        <v>0.5414793624846751</v>
      </c>
    </row>
    <row r="325" spans="1:15">
      <c r="A325" s="7" t="s">
        <v>85</v>
      </c>
      <c r="B325" s="7" t="s">
        <v>2</v>
      </c>
      <c r="C325" s="7" t="s">
        <v>48</v>
      </c>
      <c r="D325" s="7">
        <v>5210</v>
      </c>
      <c r="E325" s="7">
        <v>1764</v>
      </c>
      <c r="F325" s="7">
        <v>11349</v>
      </c>
      <c r="G325" s="7">
        <v>1025853.1</v>
      </c>
      <c r="H325" s="7">
        <v>921487.72</v>
      </c>
      <c r="I325" s="7">
        <v>104366.66</v>
      </c>
      <c r="J325" s="7">
        <v>101259.99</v>
      </c>
      <c r="K325" s="7">
        <v>2905</v>
      </c>
      <c r="L325" s="7">
        <v>581.54999999999995</v>
      </c>
      <c r="M325" s="7">
        <v>522.39</v>
      </c>
      <c r="N325" s="7">
        <v>0.10988750886446974</v>
      </c>
      <c r="O325" s="7">
        <v>0.55758157389635321</v>
      </c>
    </row>
    <row r="326" spans="1:15">
      <c r="A326" s="7" t="s">
        <v>85</v>
      </c>
      <c r="B326" s="7" t="s">
        <v>2</v>
      </c>
      <c r="C326" s="7" t="s">
        <v>49</v>
      </c>
      <c r="D326" s="7">
        <v>159</v>
      </c>
      <c r="E326" s="7">
        <v>50</v>
      </c>
      <c r="F326" s="7">
        <v>388</v>
      </c>
      <c r="G326" s="7">
        <v>31615.07</v>
      </c>
      <c r="H326" s="7">
        <v>28736.63</v>
      </c>
      <c r="I326" s="7">
        <v>2878.5</v>
      </c>
      <c r="J326" s="7">
        <v>5964.79</v>
      </c>
      <c r="K326" s="7">
        <v>89</v>
      </c>
      <c r="L326" s="7">
        <v>632.29999999999995</v>
      </c>
      <c r="M326" s="7">
        <v>574.73</v>
      </c>
      <c r="N326" s="7">
        <v>0.20756748442667075</v>
      </c>
      <c r="O326" s="7">
        <v>0.55974842767295596</v>
      </c>
    </row>
    <row r="327" spans="1:15">
      <c r="A327" s="7" t="s">
        <v>85</v>
      </c>
      <c r="B327" s="7" t="s">
        <v>2</v>
      </c>
      <c r="C327" s="7" t="s">
        <v>53</v>
      </c>
      <c r="D327" s="7">
        <v>429</v>
      </c>
      <c r="E327" s="7">
        <v>144</v>
      </c>
      <c r="F327" s="7">
        <v>885</v>
      </c>
      <c r="G327" s="7">
        <v>82106.42</v>
      </c>
      <c r="H327" s="7">
        <v>73766.399999999994</v>
      </c>
      <c r="I327" s="7">
        <v>8340.11</v>
      </c>
      <c r="J327" s="7">
        <v>2269.79</v>
      </c>
      <c r="K327" s="7">
        <v>254</v>
      </c>
      <c r="L327" s="7">
        <v>570.17999999999995</v>
      </c>
      <c r="M327" s="7">
        <v>512.27</v>
      </c>
      <c r="N327" s="7">
        <v>3.0769971152177694E-2</v>
      </c>
      <c r="O327" s="7">
        <v>0.59207459207459212</v>
      </c>
    </row>
    <row r="328" spans="1:15">
      <c r="A328" s="7" t="s">
        <v>85</v>
      </c>
      <c r="B328" s="7" t="s">
        <v>2</v>
      </c>
      <c r="C328" s="7" t="s">
        <v>54</v>
      </c>
      <c r="D328" s="7">
        <v>1530</v>
      </c>
      <c r="E328" s="7">
        <v>517</v>
      </c>
      <c r="F328" s="7">
        <v>3343</v>
      </c>
      <c r="G328" s="7">
        <v>297721.68</v>
      </c>
      <c r="H328" s="7">
        <v>267251.08</v>
      </c>
      <c r="I328" s="7">
        <v>30470.959999999999</v>
      </c>
      <c r="J328" s="7">
        <v>36287.32</v>
      </c>
      <c r="K328" s="7">
        <v>834</v>
      </c>
      <c r="L328" s="7">
        <v>575.86</v>
      </c>
      <c r="M328" s="7">
        <v>516.92999999999995</v>
      </c>
      <c r="N328" s="7">
        <v>0.13577988160047846</v>
      </c>
      <c r="O328" s="7">
        <v>0.54509803921568623</v>
      </c>
    </row>
    <row r="329" spans="1:15">
      <c r="A329" s="7" t="s">
        <v>85</v>
      </c>
      <c r="B329" s="7" t="s">
        <v>2</v>
      </c>
      <c r="C329" s="7" t="s">
        <v>55</v>
      </c>
      <c r="D329" s="7">
        <v>1862</v>
      </c>
      <c r="E329" s="7">
        <v>622</v>
      </c>
      <c r="F329" s="7">
        <v>4032</v>
      </c>
      <c r="G329" s="7">
        <v>359156.62</v>
      </c>
      <c r="H329" s="7">
        <v>322445.36</v>
      </c>
      <c r="I329" s="7">
        <v>36711.67</v>
      </c>
      <c r="J329" s="7">
        <v>41592.01</v>
      </c>
      <c r="K329" s="7">
        <v>1051</v>
      </c>
      <c r="L329" s="7">
        <v>577.41999999999996</v>
      </c>
      <c r="M329" s="7">
        <v>518.4</v>
      </c>
      <c r="N329" s="7">
        <v>0.12898932705993971</v>
      </c>
      <c r="O329" s="7">
        <v>0.56444683136412455</v>
      </c>
    </row>
    <row r="330" spans="1:15">
      <c r="A330" s="7" t="s">
        <v>85</v>
      </c>
      <c r="B330" s="7" t="s">
        <v>2</v>
      </c>
      <c r="C330" s="7" t="s">
        <v>56</v>
      </c>
      <c r="D330" s="7">
        <v>1577</v>
      </c>
      <c r="E330" s="7">
        <v>523</v>
      </c>
      <c r="F330" s="7">
        <v>3439</v>
      </c>
      <c r="G330" s="7">
        <v>312580.47999999998</v>
      </c>
      <c r="H330" s="7">
        <v>280477.69</v>
      </c>
      <c r="I330" s="7">
        <v>32103.19</v>
      </c>
      <c r="J330" s="7">
        <v>35610.910000000003</v>
      </c>
      <c r="K330" s="7">
        <v>870</v>
      </c>
      <c r="L330" s="7">
        <v>597.66999999999996</v>
      </c>
      <c r="M330" s="7">
        <v>536.29</v>
      </c>
      <c r="N330" s="7">
        <v>0.1269652142386084</v>
      </c>
      <c r="O330" s="7">
        <v>0.5516804058338618</v>
      </c>
    </row>
    <row r="331" spans="1:15">
      <c r="A331" s="7" t="s">
        <v>85</v>
      </c>
      <c r="B331" s="7" t="s">
        <v>2</v>
      </c>
      <c r="C331" s="7" t="s">
        <v>57</v>
      </c>
      <c r="D331" s="7">
        <v>1663</v>
      </c>
      <c r="E331" s="7">
        <v>560</v>
      </c>
      <c r="F331" s="7">
        <v>3752</v>
      </c>
      <c r="G331" s="7">
        <v>328521.18</v>
      </c>
      <c r="H331" s="7">
        <v>296349.5</v>
      </c>
      <c r="I331" s="7">
        <v>32172.06</v>
      </c>
      <c r="J331" s="7">
        <v>31404.51</v>
      </c>
      <c r="K331" s="7">
        <v>888</v>
      </c>
      <c r="L331" s="7">
        <v>586.64</v>
      </c>
      <c r="M331" s="7">
        <v>529.20000000000005</v>
      </c>
      <c r="N331" s="7">
        <v>0.10597119279769326</v>
      </c>
      <c r="O331" s="7">
        <v>0.53397474443776305</v>
      </c>
    </row>
    <row r="332" spans="1:15">
      <c r="A332" s="7" t="s">
        <v>85</v>
      </c>
      <c r="B332" s="7" t="s">
        <v>2</v>
      </c>
      <c r="C332" s="7" t="s">
        <v>58</v>
      </c>
      <c r="D332" s="7">
        <v>1038</v>
      </c>
      <c r="E332" s="7">
        <v>364</v>
      </c>
      <c r="F332" s="7">
        <v>2319</v>
      </c>
      <c r="G332" s="7">
        <v>205248.46</v>
      </c>
      <c r="H332" s="7">
        <v>183690.87</v>
      </c>
      <c r="I332" s="7">
        <v>21557.85</v>
      </c>
      <c r="J332" s="7">
        <v>19088.7</v>
      </c>
      <c r="K332" s="7">
        <v>578</v>
      </c>
      <c r="L332" s="7">
        <v>563.87</v>
      </c>
      <c r="M332" s="7">
        <v>504.65</v>
      </c>
      <c r="N332" s="7">
        <v>0.10391752186703673</v>
      </c>
      <c r="O332" s="7">
        <v>0.55684007707129091</v>
      </c>
    </row>
    <row r="333" spans="1:15">
      <c r="A333" s="7" t="s">
        <v>85</v>
      </c>
      <c r="B333" s="7" t="s">
        <v>2</v>
      </c>
      <c r="C333" s="7" t="s">
        <v>68</v>
      </c>
      <c r="D333" s="7">
        <v>1373</v>
      </c>
      <c r="E333" s="7">
        <v>1373</v>
      </c>
      <c r="F333" s="7">
        <v>1373</v>
      </c>
      <c r="G333" s="7">
        <v>425291.11</v>
      </c>
      <c r="H333" s="7">
        <v>382239.6</v>
      </c>
      <c r="I333" s="7">
        <v>43052.07</v>
      </c>
      <c r="J333" s="7">
        <v>48429.55</v>
      </c>
      <c r="K333" s="7">
        <v>752</v>
      </c>
      <c r="L333" s="7">
        <v>309.75</v>
      </c>
      <c r="M333" s="7">
        <v>278.39999999999998</v>
      </c>
      <c r="N333" s="7">
        <v>0.12669945761768275</v>
      </c>
      <c r="O333" s="7">
        <v>0.54770575382374365</v>
      </c>
    </row>
    <row r="334" spans="1:15">
      <c r="A334" s="7" t="s">
        <v>85</v>
      </c>
      <c r="B334" s="7" t="s">
        <v>2</v>
      </c>
      <c r="C334" s="7" t="s">
        <v>69</v>
      </c>
      <c r="D334" s="7">
        <v>2124</v>
      </c>
      <c r="E334" s="7">
        <v>2124</v>
      </c>
      <c r="F334" s="7">
        <v>2124</v>
      </c>
      <c r="G334" s="7">
        <v>503910.81</v>
      </c>
      <c r="H334" s="7">
        <v>452741.53</v>
      </c>
      <c r="I334" s="7">
        <v>51170.48</v>
      </c>
      <c r="J334" s="7">
        <v>65837.63</v>
      </c>
      <c r="K334" s="7">
        <v>1172</v>
      </c>
      <c r="L334" s="7">
        <v>237.25</v>
      </c>
      <c r="M334" s="7">
        <v>213.16</v>
      </c>
      <c r="N334" s="7">
        <v>0.14541990437678645</v>
      </c>
      <c r="O334" s="7">
        <v>0.55178907721280601</v>
      </c>
    </row>
    <row r="335" spans="1:15">
      <c r="A335" s="7" t="s">
        <v>85</v>
      </c>
      <c r="B335" s="7" t="s">
        <v>2</v>
      </c>
      <c r="C335" s="7" t="s">
        <v>70</v>
      </c>
      <c r="D335" s="7">
        <v>2123</v>
      </c>
      <c r="E335" s="7">
        <v>2123</v>
      </c>
      <c r="F335" s="7">
        <v>2123</v>
      </c>
      <c r="G335" s="7">
        <v>331650.11</v>
      </c>
      <c r="H335" s="7">
        <v>297952.05</v>
      </c>
      <c r="I335" s="7">
        <v>33699.93</v>
      </c>
      <c r="J335" s="7">
        <v>33841.89</v>
      </c>
      <c r="K335" s="7">
        <v>1195</v>
      </c>
      <c r="L335" s="7">
        <v>156.22</v>
      </c>
      <c r="M335" s="7">
        <v>140.34</v>
      </c>
      <c r="N335" s="7">
        <v>0.11358166523774547</v>
      </c>
      <c r="O335" s="7">
        <v>0.56288271314178051</v>
      </c>
    </row>
    <row r="336" spans="1:15">
      <c r="A336" s="7" t="s">
        <v>85</v>
      </c>
      <c r="B336" s="7" t="s">
        <v>77</v>
      </c>
      <c r="C336" s="7" t="s">
        <v>43</v>
      </c>
      <c r="D336" s="7">
        <v>684</v>
      </c>
      <c r="E336" s="7">
        <v>228</v>
      </c>
      <c r="F336" s="7">
        <v>1480</v>
      </c>
      <c r="G336" s="7">
        <v>136243.01</v>
      </c>
      <c r="H336" s="7">
        <v>122888.72</v>
      </c>
      <c r="I336" s="7">
        <v>13354.47</v>
      </c>
      <c r="J336" s="7">
        <v>14680.88</v>
      </c>
      <c r="K336" s="7">
        <v>385</v>
      </c>
      <c r="L336" s="7">
        <v>597.55999999999995</v>
      </c>
      <c r="M336" s="7">
        <v>538.99</v>
      </c>
      <c r="N336" s="7">
        <v>0.11946482964425049</v>
      </c>
      <c r="O336" s="7">
        <v>0.5628654970760234</v>
      </c>
    </row>
    <row r="337" spans="1:15">
      <c r="A337" s="7" t="s">
        <v>85</v>
      </c>
      <c r="B337" s="7" t="s">
        <v>77</v>
      </c>
      <c r="C337" s="7" t="s">
        <v>44</v>
      </c>
      <c r="D337" s="7">
        <v>2693</v>
      </c>
      <c r="E337" s="7">
        <v>902</v>
      </c>
      <c r="F337" s="7">
        <v>5977</v>
      </c>
      <c r="G337" s="7">
        <v>533532.73</v>
      </c>
      <c r="H337" s="7">
        <v>478963.51</v>
      </c>
      <c r="I337" s="7">
        <v>54569.9</v>
      </c>
      <c r="J337" s="7">
        <v>57617.46</v>
      </c>
      <c r="K337" s="7">
        <v>1497</v>
      </c>
      <c r="L337" s="7">
        <v>591.5</v>
      </c>
      <c r="M337" s="7">
        <v>531</v>
      </c>
      <c r="N337" s="7">
        <v>0.12029613696458838</v>
      </c>
      <c r="O337" s="7">
        <v>0.55588562940958042</v>
      </c>
    </row>
    <row r="338" spans="1:15">
      <c r="A338" s="7" t="s">
        <v>85</v>
      </c>
      <c r="B338" s="7" t="s">
        <v>77</v>
      </c>
      <c r="C338" s="7" t="s">
        <v>45</v>
      </c>
      <c r="D338" s="7">
        <v>2719</v>
      </c>
      <c r="E338" s="7">
        <v>919</v>
      </c>
      <c r="F338" s="7">
        <v>5898</v>
      </c>
      <c r="G338" s="7">
        <v>535432.56999999995</v>
      </c>
      <c r="H338" s="7">
        <v>481853.93</v>
      </c>
      <c r="I338" s="7">
        <v>53579.28</v>
      </c>
      <c r="J338" s="7">
        <v>57324.49</v>
      </c>
      <c r="K338" s="7">
        <v>1496</v>
      </c>
      <c r="L338" s="7">
        <v>582.63</v>
      </c>
      <c r="M338" s="7">
        <v>524.32000000000005</v>
      </c>
      <c r="N338" s="7">
        <v>0.11896652996064595</v>
      </c>
      <c r="O338" s="7">
        <v>0.55020228025009199</v>
      </c>
    </row>
    <row r="339" spans="1:15">
      <c r="A339" s="7" t="s">
        <v>85</v>
      </c>
      <c r="B339" s="7" t="s">
        <v>77</v>
      </c>
      <c r="C339" s="7" t="s">
        <v>46</v>
      </c>
      <c r="D339" s="7">
        <v>2689</v>
      </c>
      <c r="E339" s="7">
        <v>904</v>
      </c>
      <c r="F339" s="7">
        <v>5961</v>
      </c>
      <c r="G339" s="7">
        <v>527335.15</v>
      </c>
      <c r="H339" s="7">
        <v>473189.59</v>
      </c>
      <c r="I339" s="7">
        <v>54146.27</v>
      </c>
      <c r="J339" s="7">
        <v>48443</v>
      </c>
      <c r="K339" s="7">
        <v>1455</v>
      </c>
      <c r="L339" s="7">
        <v>583.34</v>
      </c>
      <c r="M339" s="7">
        <v>523.44000000000005</v>
      </c>
      <c r="N339" s="7">
        <v>0.10237545589284835</v>
      </c>
      <c r="O339" s="7">
        <v>0.54109334325027891</v>
      </c>
    </row>
    <row r="340" spans="1:15">
      <c r="A340" s="7" t="s">
        <v>85</v>
      </c>
      <c r="B340" s="7" t="s">
        <v>77</v>
      </c>
      <c r="C340" s="7" t="s">
        <v>47</v>
      </c>
      <c r="D340" s="7">
        <v>2553</v>
      </c>
      <c r="E340" s="7">
        <v>871</v>
      </c>
      <c r="F340" s="7">
        <v>5632</v>
      </c>
      <c r="G340" s="7">
        <v>504990.78</v>
      </c>
      <c r="H340" s="7">
        <v>453237.57</v>
      </c>
      <c r="I340" s="7">
        <v>51753.86</v>
      </c>
      <c r="J340" s="7">
        <v>44059.47</v>
      </c>
      <c r="K340" s="7">
        <v>1388</v>
      </c>
      <c r="L340" s="7">
        <v>579.78</v>
      </c>
      <c r="M340" s="7">
        <v>520.36</v>
      </c>
      <c r="N340" s="7">
        <v>9.7210542365232439E-2</v>
      </c>
      <c r="O340" s="7">
        <v>0.54367410889150014</v>
      </c>
    </row>
    <row r="341" spans="1:15">
      <c r="A341" s="7" t="s">
        <v>85</v>
      </c>
      <c r="B341" s="7" t="s">
        <v>77</v>
      </c>
      <c r="C341" s="7" t="s">
        <v>48</v>
      </c>
      <c r="D341" s="7">
        <v>2708</v>
      </c>
      <c r="E341" s="7">
        <v>915</v>
      </c>
      <c r="F341" s="7">
        <v>5957</v>
      </c>
      <c r="G341" s="7">
        <v>539812.56000000006</v>
      </c>
      <c r="H341" s="7">
        <v>485296.02</v>
      </c>
      <c r="I341" s="7">
        <v>54517.27</v>
      </c>
      <c r="J341" s="7">
        <v>53350.720000000001</v>
      </c>
      <c r="K341" s="7">
        <v>1490</v>
      </c>
      <c r="L341" s="7">
        <v>589.96</v>
      </c>
      <c r="M341" s="7">
        <v>530.38</v>
      </c>
      <c r="N341" s="7">
        <v>0.10993438602690374</v>
      </c>
      <c r="O341" s="7">
        <v>0.55022156573116687</v>
      </c>
    </row>
    <row r="342" spans="1:15">
      <c r="A342" s="7" t="s">
        <v>85</v>
      </c>
      <c r="B342" s="7" t="s">
        <v>77</v>
      </c>
      <c r="C342" s="7" t="s">
        <v>49</v>
      </c>
      <c r="D342" s="7">
        <v>65</v>
      </c>
      <c r="E342" s="7">
        <v>24</v>
      </c>
      <c r="F342" s="7">
        <v>160</v>
      </c>
      <c r="G342" s="7">
        <v>12275.18</v>
      </c>
      <c r="H342" s="7">
        <v>10991.93</v>
      </c>
      <c r="I342" s="7">
        <v>1283.27</v>
      </c>
      <c r="J342" s="7">
        <v>2626.84</v>
      </c>
      <c r="K342" s="7">
        <v>30</v>
      </c>
      <c r="L342" s="7">
        <v>511.47</v>
      </c>
      <c r="M342" s="7">
        <v>458</v>
      </c>
      <c r="N342" s="7">
        <v>0.23897896001885019</v>
      </c>
      <c r="O342" s="7">
        <v>0.46153846153846156</v>
      </c>
    </row>
    <row r="343" spans="1:15">
      <c r="A343" s="7" t="s">
        <v>85</v>
      </c>
      <c r="B343" s="7" t="s">
        <v>77</v>
      </c>
      <c r="C343" s="7" t="s">
        <v>53</v>
      </c>
      <c r="D343" s="7">
        <v>221</v>
      </c>
      <c r="E343" s="7">
        <v>77</v>
      </c>
      <c r="F343" s="7">
        <v>477</v>
      </c>
      <c r="G343" s="7">
        <v>43216.82</v>
      </c>
      <c r="H343" s="7">
        <v>38785.06</v>
      </c>
      <c r="I343" s="7">
        <v>4431.8</v>
      </c>
      <c r="J343" s="7">
        <v>1499.3</v>
      </c>
      <c r="K343" s="7">
        <v>128</v>
      </c>
      <c r="L343" s="7">
        <v>561.26</v>
      </c>
      <c r="M343" s="7">
        <v>503.7</v>
      </c>
      <c r="N343" s="7">
        <v>3.8656637375319262E-2</v>
      </c>
      <c r="O343" s="7">
        <v>0.579185520361991</v>
      </c>
    </row>
    <row r="344" spans="1:15">
      <c r="A344" s="7" t="s">
        <v>85</v>
      </c>
      <c r="B344" s="7" t="s">
        <v>77</v>
      </c>
      <c r="C344" s="7" t="s">
        <v>54</v>
      </c>
      <c r="D344" s="7">
        <v>777</v>
      </c>
      <c r="E344" s="7">
        <v>260</v>
      </c>
      <c r="F344" s="7">
        <v>1694</v>
      </c>
      <c r="G344" s="7">
        <v>155949.51</v>
      </c>
      <c r="H344" s="7">
        <v>140036.23000000001</v>
      </c>
      <c r="I344" s="7">
        <v>15913.46</v>
      </c>
      <c r="J344" s="7">
        <v>19552.259999999998</v>
      </c>
      <c r="K344" s="7">
        <v>434</v>
      </c>
      <c r="L344" s="7">
        <v>599.80999999999995</v>
      </c>
      <c r="M344" s="7">
        <v>538.6</v>
      </c>
      <c r="N344" s="7">
        <v>0.13962286759647841</v>
      </c>
      <c r="O344" s="7">
        <v>0.55855855855855852</v>
      </c>
    </row>
    <row r="345" spans="1:15">
      <c r="A345" s="7" t="s">
        <v>85</v>
      </c>
      <c r="B345" s="7" t="s">
        <v>77</v>
      </c>
      <c r="C345" s="7" t="s">
        <v>55</v>
      </c>
      <c r="D345" s="7">
        <v>1034</v>
      </c>
      <c r="E345" s="7">
        <v>338</v>
      </c>
      <c r="F345" s="7">
        <v>2241</v>
      </c>
      <c r="G345" s="7">
        <v>196383.69</v>
      </c>
      <c r="H345" s="7">
        <v>176633.17</v>
      </c>
      <c r="I345" s="7">
        <v>19750.7</v>
      </c>
      <c r="J345" s="7">
        <v>23340.01</v>
      </c>
      <c r="K345" s="7">
        <v>560</v>
      </c>
      <c r="L345" s="7">
        <v>581.02</v>
      </c>
      <c r="M345" s="7">
        <v>522.58000000000004</v>
      </c>
      <c r="N345" s="7">
        <v>0.13213831807468551</v>
      </c>
      <c r="O345" s="7">
        <v>0.5415860735009671</v>
      </c>
    </row>
    <row r="346" spans="1:15">
      <c r="A346" s="7" t="s">
        <v>85</v>
      </c>
      <c r="B346" s="7" t="s">
        <v>77</v>
      </c>
      <c r="C346" s="7" t="s">
        <v>56</v>
      </c>
      <c r="D346" s="7">
        <v>864</v>
      </c>
      <c r="E346" s="7">
        <v>288</v>
      </c>
      <c r="F346" s="7">
        <v>1870</v>
      </c>
      <c r="G346" s="7">
        <v>170565.14</v>
      </c>
      <c r="H346" s="7">
        <v>153208.81</v>
      </c>
      <c r="I346" s="7">
        <v>17356.52</v>
      </c>
      <c r="J346" s="7">
        <v>18716.38</v>
      </c>
      <c r="K346" s="7">
        <v>458</v>
      </c>
      <c r="L346" s="7">
        <v>592.24</v>
      </c>
      <c r="M346" s="7">
        <v>531.98</v>
      </c>
      <c r="N346" s="7">
        <v>0.12216255710099179</v>
      </c>
      <c r="O346" s="7">
        <v>0.53009259259259256</v>
      </c>
    </row>
    <row r="347" spans="1:15">
      <c r="A347" s="7" t="s">
        <v>85</v>
      </c>
      <c r="B347" s="7" t="s">
        <v>77</v>
      </c>
      <c r="C347" s="7" t="s">
        <v>57</v>
      </c>
      <c r="D347" s="7">
        <v>855</v>
      </c>
      <c r="E347" s="7">
        <v>286</v>
      </c>
      <c r="F347" s="7">
        <v>1905</v>
      </c>
      <c r="G347" s="7">
        <v>171096.04</v>
      </c>
      <c r="H347" s="7">
        <v>154472.82999999999</v>
      </c>
      <c r="I347" s="7">
        <v>16623.39</v>
      </c>
      <c r="J347" s="7">
        <v>17079.2</v>
      </c>
      <c r="K347" s="7">
        <v>426</v>
      </c>
      <c r="L347" s="7">
        <v>598.24</v>
      </c>
      <c r="M347" s="7">
        <v>540.11</v>
      </c>
      <c r="N347" s="7">
        <v>0.11056442741419316</v>
      </c>
      <c r="O347" s="7">
        <v>0.49824561403508771</v>
      </c>
    </row>
    <row r="348" spans="1:15">
      <c r="A348" s="7" t="s">
        <v>85</v>
      </c>
      <c r="B348" s="7" t="s">
        <v>77</v>
      </c>
      <c r="C348" s="7" t="s">
        <v>58</v>
      </c>
      <c r="D348" s="7">
        <v>552</v>
      </c>
      <c r="E348" s="7">
        <v>196</v>
      </c>
      <c r="F348" s="7">
        <v>1264</v>
      </c>
      <c r="G348" s="7">
        <v>108204.05</v>
      </c>
      <c r="H348" s="7">
        <v>97002.21</v>
      </c>
      <c r="I348" s="7">
        <v>11201.98</v>
      </c>
      <c r="J348" s="7">
        <v>7214.07</v>
      </c>
      <c r="K348" s="7">
        <v>304</v>
      </c>
      <c r="L348" s="7">
        <v>552.05999999999995</v>
      </c>
      <c r="M348" s="7">
        <v>494.91</v>
      </c>
      <c r="N348" s="7">
        <v>7.4370161257150735E-2</v>
      </c>
      <c r="O348" s="7">
        <v>0.55072463768115942</v>
      </c>
    </row>
    <row r="349" spans="1:15">
      <c r="A349" s="7" t="s">
        <v>85</v>
      </c>
      <c r="B349" s="7" t="s">
        <v>77</v>
      </c>
      <c r="C349" s="7" t="s">
        <v>68</v>
      </c>
      <c r="D349" s="7">
        <v>658</v>
      </c>
      <c r="E349" s="7">
        <v>658</v>
      </c>
      <c r="F349" s="7">
        <v>658</v>
      </c>
      <c r="G349" s="7">
        <v>210143.39</v>
      </c>
      <c r="H349" s="7">
        <v>189728.89</v>
      </c>
      <c r="I349" s="7">
        <v>20414.75</v>
      </c>
      <c r="J349" s="7">
        <v>25161.62</v>
      </c>
      <c r="K349" s="7">
        <v>358</v>
      </c>
      <c r="L349" s="7">
        <v>319.37</v>
      </c>
      <c r="M349" s="7">
        <v>288.33999999999997</v>
      </c>
      <c r="N349" s="7">
        <v>0.1326188120322635</v>
      </c>
      <c r="O349" s="7">
        <v>0.54407294832826747</v>
      </c>
    </row>
    <row r="350" spans="1:15">
      <c r="A350" s="7" t="s">
        <v>85</v>
      </c>
      <c r="B350" s="7" t="s">
        <v>77</v>
      </c>
      <c r="C350" s="7" t="s">
        <v>69</v>
      </c>
      <c r="D350" s="7">
        <v>1143</v>
      </c>
      <c r="E350" s="7">
        <v>1143</v>
      </c>
      <c r="F350" s="7">
        <v>1143</v>
      </c>
      <c r="G350" s="7">
        <v>278849.77</v>
      </c>
      <c r="H350" s="7">
        <v>251145.38</v>
      </c>
      <c r="I350" s="7">
        <v>27705.01</v>
      </c>
      <c r="J350" s="7">
        <v>43002.48</v>
      </c>
      <c r="K350" s="7">
        <v>610</v>
      </c>
      <c r="L350" s="7">
        <v>243.96</v>
      </c>
      <c r="M350" s="7">
        <v>219.72</v>
      </c>
      <c r="N350" s="7">
        <v>0.17122544718919377</v>
      </c>
      <c r="O350" s="7">
        <v>0.5336832895888014</v>
      </c>
    </row>
    <row r="351" spans="1:15">
      <c r="A351" s="7" t="s">
        <v>85</v>
      </c>
      <c r="B351" s="7" t="s">
        <v>77</v>
      </c>
      <c r="C351" s="7" t="s">
        <v>70</v>
      </c>
      <c r="D351" s="7">
        <v>1069</v>
      </c>
      <c r="E351" s="7">
        <v>1069</v>
      </c>
      <c r="F351" s="7">
        <v>1069</v>
      </c>
      <c r="G351" s="7">
        <v>162830.24</v>
      </c>
      <c r="H351" s="7">
        <v>146373.35999999999</v>
      </c>
      <c r="I351" s="7">
        <v>16457.91</v>
      </c>
      <c r="J351" s="7">
        <v>11961.25</v>
      </c>
      <c r="K351" s="7">
        <v>573</v>
      </c>
      <c r="L351" s="7">
        <v>152.32</v>
      </c>
      <c r="M351" s="7">
        <v>136.93</v>
      </c>
      <c r="N351" s="7">
        <v>8.1717397209437576E-2</v>
      </c>
      <c r="O351" s="7">
        <v>0.53601496725912068</v>
      </c>
    </row>
    <row r="352" spans="1:15">
      <c r="A352" s="7" t="s">
        <v>85</v>
      </c>
      <c r="B352" s="7" t="s">
        <v>78</v>
      </c>
      <c r="C352" s="7" t="s">
        <v>43</v>
      </c>
      <c r="D352" s="7">
        <v>403</v>
      </c>
      <c r="E352" s="7">
        <v>139</v>
      </c>
      <c r="F352" s="7">
        <v>882</v>
      </c>
      <c r="G352" s="7">
        <v>80321.27</v>
      </c>
      <c r="H352" s="7">
        <v>72296.67</v>
      </c>
      <c r="I352" s="7">
        <v>8024.7</v>
      </c>
      <c r="J352" s="7">
        <v>6689.6</v>
      </c>
      <c r="K352" s="7">
        <v>210</v>
      </c>
      <c r="L352" s="7">
        <v>577.85</v>
      </c>
      <c r="M352" s="7">
        <v>520.12</v>
      </c>
      <c r="N352" s="7">
        <v>9.2529849576750908E-2</v>
      </c>
      <c r="O352" s="7">
        <v>0.52109181141439209</v>
      </c>
    </row>
    <row r="353" spans="1:15">
      <c r="A353" s="7" t="s">
        <v>85</v>
      </c>
      <c r="B353" s="7" t="s">
        <v>78</v>
      </c>
      <c r="C353" s="7" t="s">
        <v>44</v>
      </c>
      <c r="D353" s="7">
        <v>1582</v>
      </c>
      <c r="E353" s="7">
        <v>518</v>
      </c>
      <c r="F353" s="7">
        <v>3443</v>
      </c>
      <c r="G353" s="7">
        <v>303815.09000000003</v>
      </c>
      <c r="H353" s="7">
        <v>273160.58</v>
      </c>
      <c r="I353" s="7">
        <v>30654.86</v>
      </c>
      <c r="J353" s="7">
        <v>23562.54</v>
      </c>
      <c r="K353" s="7">
        <v>843</v>
      </c>
      <c r="L353" s="7">
        <v>586.52</v>
      </c>
      <c r="M353" s="7">
        <v>527.34</v>
      </c>
      <c r="N353" s="7">
        <v>8.625893238328898E-2</v>
      </c>
      <c r="O353" s="7">
        <v>0.53286978508217442</v>
      </c>
    </row>
    <row r="354" spans="1:15">
      <c r="A354" s="7" t="s">
        <v>85</v>
      </c>
      <c r="B354" s="7" t="s">
        <v>78</v>
      </c>
      <c r="C354" s="7" t="s">
        <v>45</v>
      </c>
      <c r="D354" s="7">
        <v>1700</v>
      </c>
      <c r="E354" s="7">
        <v>568</v>
      </c>
      <c r="F354" s="7">
        <v>3758</v>
      </c>
      <c r="G354" s="7">
        <v>336029.03</v>
      </c>
      <c r="H354" s="7">
        <v>300944.94</v>
      </c>
      <c r="I354" s="7">
        <v>35084.550000000003</v>
      </c>
      <c r="J354" s="7">
        <v>33959.040000000001</v>
      </c>
      <c r="K354" s="7">
        <v>938</v>
      </c>
      <c r="L354" s="7">
        <v>591.6</v>
      </c>
      <c r="M354" s="7">
        <v>529.83000000000004</v>
      </c>
      <c r="N354" s="7">
        <v>0.1128413722457005</v>
      </c>
      <c r="O354" s="7">
        <v>0.55176470588235293</v>
      </c>
    </row>
    <row r="355" spans="1:15">
      <c r="A355" s="7" t="s">
        <v>85</v>
      </c>
      <c r="B355" s="7" t="s">
        <v>78</v>
      </c>
      <c r="C355" s="7" t="s">
        <v>46</v>
      </c>
      <c r="D355" s="7">
        <v>1681</v>
      </c>
      <c r="E355" s="7">
        <v>556</v>
      </c>
      <c r="F355" s="7">
        <v>3559</v>
      </c>
      <c r="G355" s="7">
        <v>330304.83</v>
      </c>
      <c r="H355" s="7">
        <v>297414.46999999997</v>
      </c>
      <c r="I355" s="7">
        <v>32890.660000000003</v>
      </c>
      <c r="J355" s="7">
        <v>36241.360000000001</v>
      </c>
      <c r="K355" s="7">
        <v>973</v>
      </c>
      <c r="L355" s="7">
        <v>594.07000000000005</v>
      </c>
      <c r="M355" s="7">
        <v>534.91999999999996</v>
      </c>
      <c r="N355" s="7">
        <v>0.12185473020192998</v>
      </c>
      <c r="O355" s="7">
        <v>0.57882212968471147</v>
      </c>
    </row>
    <row r="356" spans="1:15">
      <c r="A356" s="7" t="s">
        <v>85</v>
      </c>
      <c r="B356" s="7" t="s">
        <v>78</v>
      </c>
      <c r="C356" s="7" t="s">
        <v>47</v>
      </c>
      <c r="D356" s="7">
        <v>1439</v>
      </c>
      <c r="E356" s="7">
        <v>488</v>
      </c>
      <c r="F356" s="7">
        <v>3127</v>
      </c>
      <c r="G356" s="7">
        <v>283960.26</v>
      </c>
      <c r="H356" s="7">
        <v>255060.87</v>
      </c>
      <c r="I356" s="7">
        <v>28899.71</v>
      </c>
      <c r="J356" s="7">
        <v>29754.17</v>
      </c>
      <c r="K356" s="7">
        <v>783</v>
      </c>
      <c r="L356" s="7">
        <v>581.89</v>
      </c>
      <c r="M356" s="7">
        <v>522.66999999999996</v>
      </c>
      <c r="N356" s="7">
        <v>0.11665517333176195</v>
      </c>
      <c r="O356" s="7">
        <v>0.54412786657400969</v>
      </c>
    </row>
    <row r="357" spans="1:15">
      <c r="A357" s="7" t="s">
        <v>85</v>
      </c>
      <c r="B357" s="7" t="s">
        <v>78</v>
      </c>
      <c r="C357" s="7" t="s">
        <v>48</v>
      </c>
      <c r="D357" s="7">
        <v>1527</v>
      </c>
      <c r="E357" s="7">
        <v>519</v>
      </c>
      <c r="F357" s="7">
        <v>3289</v>
      </c>
      <c r="G357" s="7">
        <v>297087.81</v>
      </c>
      <c r="H357" s="7">
        <v>266567.05</v>
      </c>
      <c r="I357" s="7">
        <v>30521.13</v>
      </c>
      <c r="J357" s="7">
        <v>31573.18</v>
      </c>
      <c r="K357" s="7">
        <v>851</v>
      </c>
      <c r="L357" s="7">
        <v>572.41999999999996</v>
      </c>
      <c r="M357" s="7">
        <v>513.62</v>
      </c>
      <c r="N357" s="7">
        <v>0.11844367111389049</v>
      </c>
      <c r="O357" s="7">
        <v>0.55730189914865746</v>
      </c>
    </row>
    <row r="358" spans="1:15">
      <c r="A358" s="7" t="s">
        <v>85</v>
      </c>
      <c r="B358" s="7" t="s">
        <v>78</v>
      </c>
      <c r="C358" s="7" t="s">
        <v>49</v>
      </c>
      <c r="D358" s="7">
        <v>50</v>
      </c>
      <c r="E358" s="7">
        <v>14</v>
      </c>
      <c r="F358" s="7">
        <v>124</v>
      </c>
      <c r="G358" s="7">
        <v>11229.9</v>
      </c>
      <c r="H358" s="7">
        <v>10119.26</v>
      </c>
      <c r="I358" s="7">
        <v>1110.6600000000001</v>
      </c>
      <c r="J358" s="7">
        <v>1666.06</v>
      </c>
      <c r="K358" s="7">
        <v>29</v>
      </c>
      <c r="L358" s="7">
        <v>802.14</v>
      </c>
      <c r="M358" s="7">
        <v>722.8</v>
      </c>
      <c r="N358" s="7">
        <v>0.16464247385678399</v>
      </c>
      <c r="O358" s="7">
        <v>0.57999999999999996</v>
      </c>
    </row>
    <row r="359" spans="1:15">
      <c r="A359" s="7" t="s">
        <v>85</v>
      </c>
      <c r="B359" s="7" t="s">
        <v>78</v>
      </c>
      <c r="C359" s="7" t="s">
        <v>53</v>
      </c>
      <c r="D359" s="7">
        <v>126</v>
      </c>
      <c r="E359" s="7">
        <v>38</v>
      </c>
      <c r="F359" s="7">
        <v>249</v>
      </c>
      <c r="G359" s="7">
        <v>23534.38</v>
      </c>
      <c r="H359" s="7">
        <v>20893.66</v>
      </c>
      <c r="I359" s="7">
        <v>2640.77</v>
      </c>
      <c r="J359" s="7">
        <v>1859.75</v>
      </c>
      <c r="K359" s="7">
        <v>71</v>
      </c>
      <c r="L359" s="7">
        <v>619.33000000000004</v>
      </c>
      <c r="M359" s="7">
        <v>549.83000000000004</v>
      </c>
      <c r="N359" s="7">
        <v>8.9010254785422946E-2</v>
      </c>
      <c r="O359" s="7">
        <v>0.56349206349206349</v>
      </c>
    </row>
    <row r="360" spans="1:15">
      <c r="A360" s="7" t="s">
        <v>85</v>
      </c>
      <c r="B360" s="7" t="s">
        <v>78</v>
      </c>
      <c r="C360" s="7" t="s">
        <v>54</v>
      </c>
      <c r="D360" s="7">
        <v>523</v>
      </c>
      <c r="E360" s="7">
        <v>175</v>
      </c>
      <c r="F360" s="7">
        <v>1142</v>
      </c>
      <c r="G360" s="7">
        <v>96812.53</v>
      </c>
      <c r="H360" s="7">
        <v>86651.44</v>
      </c>
      <c r="I360" s="7">
        <v>10161.209999999999</v>
      </c>
      <c r="J360" s="7">
        <v>12790.44</v>
      </c>
      <c r="K360" s="7">
        <v>298</v>
      </c>
      <c r="L360" s="7">
        <v>553.21</v>
      </c>
      <c r="M360" s="7">
        <v>495.15</v>
      </c>
      <c r="N360" s="7">
        <v>0.14760793357848409</v>
      </c>
      <c r="O360" s="7">
        <v>0.5697896749521989</v>
      </c>
    </row>
    <row r="361" spans="1:15">
      <c r="A361" s="7" t="s">
        <v>85</v>
      </c>
      <c r="B361" s="7" t="s">
        <v>78</v>
      </c>
      <c r="C361" s="7" t="s">
        <v>55</v>
      </c>
      <c r="D361" s="7">
        <v>517</v>
      </c>
      <c r="E361" s="7">
        <v>176</v>
      </c>
      <c r="F361" s="7">
        <v>1149</v>
      </c>
      <c r="G361" s="7">
        <v>100127.11</v>
      </c>
      <c r="H361" s="7">
        <v>89876.22</v>
      </c>
      <c r="I361" s="7">
        <v>10251.030000000001</v>
      </c>
      <c r="J361" s="7">
        <v>11370.21</v>
      </c>
      <c r="K361" s="7">
        <v>286</v>
      </c>
      <c r="L361" s="7">
        <v>568.9</v>
      </c>
      <c r="M361" s="7">
        <v>510.66</v>
      </c>
      <c r="N361" s="7">
        <v>0.12650965961852867</v>
      </c>
      <c r="O361" s="7">
        <v>0.55319148936170215</v>
      </c>
    </row>
    <row r="362" spans="1:15">
      <c r="A362" s="7" t="s">
        <v>85</v>
      </c>
      <c r="B362" s="7" t="s">
        <v>78</v>
      </c>
      <c r="C362" s="7" t="s">
        <v>56</v>
      </c>
      <c r="D362" s="7">
        <v>434</v>
      </c>
      <c r="E362" s="7">
        <v>142</v>
      </c>
      <c r="F362" s="7">
        <v>989</v>
      </c>
      <c r="G362" s="7">
        <v>86751.49</v>
      </c>
      <c r="H362" s="7">
        <v>77422.55</v>
      </c>
      <c r="I362" s="7">
        <v>9329.07</v>
      </c>
      <c r="J362" s="7">
        <v>9867.4699999999993</v>
      </c>
      <c r="K362" s="7">
        <v>279</v>
      </c>
      <c r="L362" s="7">
        <v>610.92999999999995</v>
      </c>
      <c r="M362" s="7">
        <v>545.23</v>
      </c>
      <c r="N362" s="7">
        <v>0.12744956088374768</v>
      </c>
      <c r="O362" s="7">
        <v>0.6428571428571429</v>
      </c>
    </row>
    <row r="363" spans="1:15">
      <c r="A363" s="7" t="s">
        <v>85</v>
      </c>
      <c r="B363" s="7" t="s">
        <v>78</v>
      </c>
      <c r="C363" s="7" t="s">
        <v>57</v>
      </c>
      <c r="D363" s="7">
        <v>470</v>
      </c>
      <c r="E363" s="7">
        <v>161</v>
      </c>
      <c r="F363" s="7">
        <v>1046</v>
      </c>
      <c r="G363" s="7">
        <v>92795.38</v>
      </c>
      <c r="H363" s="7">
        <v>83510.8</v>
      </c>
      <c r="I363" s="7">
        <v>9284.68</v>
      </c>
      <c r="J363" s="7">
        <v>8893.8799999999992</v>
      </c>
      <c r="K363" s="7">
        <v>270</v>
      </c>
      <c r="L363" s="7">
        <v>576.37</v>
      </c>
      <c r="M363" s="7">
        <v>518.70000000000005</v>
      </c>
      <c r="N363" s="7">
        <v>0.10649975811511803</v>
      </c>
      <c r="O363" s="7">
        <v>0.57446808510638303</v>
      </c>
    </row>
    <row r="364" spans="1:15">
      <c r="A364" s="7" t="s">
        <v>85</v>
      </c>
      <c r="B364" s="7" t="s">
        <v>78</v>
      </c>
      <c r="C364" s="7" t="s">
        <v>58</v>
      </c>
      <c r="D364" s="7">
        <v>348</v>
      </c>
      <c r="E364" s="7">
        <v>116</v>
      </c>
      <c r="F364" s="7">
        <v>752</v>
      </c>
      <c r="G364" s="7">
        <v>69822.37</v>
      </c>
      <c r="H364" s="7">
        <v>62471.9</v>
      </c>
      <c r="I364" s="7">
        <v>7350.56</v>
      </c>
      <c r="J364" s="7">
        <v>6895.89</v>
      </c>
      <c r="K364" s="7">
        <v>201</v>
      </c>
      <c r="L364" s="7">
        <v>601.91999999999996</v>
      </c>
      <c r="M364" s="7">
        <v>538.54999999999995</v>
      </c>
      <c r="N364" s="7">
        <v>0.11038386858731686</v>
      </c>
      <c r="O364" s="7">
        <v>0.57758620689655171</v>
      </c>
    </row>
    <row r="365" spans="1:15">
      <c r="A365" s="7" t="s">
        <v>85</v>
      </c>
      <c r="B365" s="7" t="s">
        <v>78</v>
      </c>
      <c r="C365" s="7" t="s">
        <v>68</v>
      </c>
      <c r="D365" s="7">
        <v>475</v>
      </c>
      <c r="E365" s="7">
        <v>475</v>
      </c>
      <c r="F365" s="7">
        <v>475</v>
      </c>
      <c r="G365" s="7">
        <v>146039.56</v>
      </c>
      <c r="H365" s="7">
        <v>130379.24</v>
      </c>
      <c r="I365" s="7">
        <v>15660.53</v>
      </c>
      <c r="J365" s="7">
        <v>16547.16</v>
      </c>
      <c r="K365" s="7">
        <v>258</v>
      </c>
      <c r="L365" s="7">
        <v>307.45</v>
      </c>
      <c r="M365" s="7">
        <v>274.48</v>
      </c>
      <c r="N365" s="7">
        <v>0.12691560404862001</v>
      </c>
      <c r="O365" s="7">
        <v>0.54315789473684206</v>
      </c>
    </row>
    <row r="366" spans="1:15">
      <c r="A366" s="7" t="s">
        <v>85</v>
      </c>
      <c r="B366" s="7" t="s">
        <v>78</v>
      </c>
      <c r="C366" s="7" t="s">
        <v>69</v>
      </c>
      <c r="D366" s="7">
        <v>614</v>
      </c>
      <c r="E366" s="7">
        <v>614</v>
      </c>
      <c r="F366" s="7">
        <v>614</v>
      </c>
      <c r="G366" s="7">
        <v>152231.34</v>
      </c>
      <c r="H366" s="7">
        <v>136091.31</v>
      </c>
      <c r="I366" s="7">
        <v>16140.39</v>
      </c>
      <c r="J366" s="7">
        <v>14541.36</v>
      </c>
      <c r="K366" s="7">
        <v>357</v>
      </c>
      <c r="L366" s="7">
        <v>247.93</v>
      </c>
      <c r="M366" s="7">
        <v>221.65</v>
      </c>
      <c r="N366" s="7">
        <v>0.10685002591274932</v>
      </c>
      <c r="O366" s="7">
        <v>0.58143322475570036</v>
      </c>
    </row>
    <row r="367" spans="1:15">
      <c r="A367" s="7" t="s">
        <v>85</v>
      </c>
      <c r="B367" s="7" t="s">
        <v>78</v>
      </c>
      <c r="C367" s="7" t="s">
        <v>70</v>
      </c>
      <c r="D367" s="7">
        <v>619</v>
      </c>
      <c r="E367" s="7">
        <v>619</v>
      </c>
      <c r="F367" s="7">
        <v>619</v>
      </c>
      <c r="G367" s="7">
        <v>104730.19</v>
      </c>
      <c r="H367" s="7">
        <v>94169.02</v>
      </c>
      <c r="I367" s="7">
        <v>10561.62</v>
      </c>
      <c r="J367" s="7">
        <v>11897.4</v>
      </c>
      <c r="K367" s="7">
        <v>364</v>
      </c>
      <c r="L367" s="7">
        <v>169.19</v>
      </c>
      <c r="M367" s="7">
        <v>152.13</v>
      </c>
      <c r="N367" s="7">
        <v>0.12634091339168654</v>
      </c>
      <c r="O367" s="7">
        <v>0.58804523424878841</v>
      </c>
    </row>
    <row r="368" spans="1:15">
      <c r="A368" s="7" t="s">
        <v>85</v>
      </c>
      <c r="B368" s="7" t="s">
        <v>79</v>
      </c>
      <c r="C368" s="7" t="s">
        <v>43</v>
      </c>
      <c r="D368" s="7">
        <v>268</v>
      </c>
      <c r="E368" s="7">
        <v>90</v>
      </c>
      <c r="F368" s="7">
        <v>576</v>
      </c>
      <c r="G368" s="7">
        <v>51712.12</v>
      </c>
      <c r="H368" s="7">
        <v>46408.93</v>
      </c>
      <c r="I368" s="7">
        <v>5303.26</v>
      </c>
      <c r="J368" s="7">
        <v>6136.52</v>
      </c>
      <c r="K368" s="7">
        <v>146</v>
      </c>
      <c r="L368" s="7">
        <v>574.58000000000004</v>
      </c>
      <c r="M368" s="7">
        <v>515.65</v>
      </c>
      <c r="N368" s="7">
        <v>0.13222713818224208</v>
      </c>
      <c r="O368" s="7">
        <v>0.54477611940298509</v>
      </c>
    </row>
    <row r="369" spans="1:15">
      <c r="A369" s="7" t="s">
        <v>85</v>
      </c>
      <c r="B369" s="7" t="s">
        <v>79</v>
      </c>
      <c r="C369" s="7" t="s">
        <v>44</v>
      </c>
      <c r="D369" s="7">
        <v>960</v>
      </c>
      <c r="E369" s="7">
        <v>309</v>
      </c>
      <c r="F369" s="7">
        <v>2043</v>
      </c>
      <c r="G369" s="7">
        <v>191772.4</v>
      </c>
      <c r="H369" s="7">
        <v>172478.47</v>
      </c>
      <c r="I369" s="7">
        <v>19294.21</v>
      </c>
      <c r="J369" s="7">
        <v>23247.360000000001</v>
      </c>
      <c r="K369" s="7">
        <v>501</v>
      </c>
      <c r="L369" s="7">
        <v>620.62</v>
      </c>
      <c r="M369" s="7">
        <v>558.17999999999995</v>
      </c>
      <c r="N369" s="7">
        <v>0.13478412696958642</v>
      </c>
      <c r="O369" s="7">
        <v>0.52187499999999998</v>
      </c>
    </row>
    <row r="370" spans="1:15">
      <c r="A370" s="7" t="s">
        <v>85</v>
      </c>
      <c r="B370" s="7" t="s">
        <v>79</v>
      </c>
      <c r="C370" s="7" t="s">
        <v>45</v>
      </c>
      <c r="D370" s="7">
        <v>952</v>
      </c>
      <c r="E370" s="7">
        <v>318</v>
      </c>
      <c r="F370" s="7">
        <v>2134</v>
      </c>
      <c r="G370" s="7">
        <v>186379.26</v>
      </c>
      <c r="H370" s="7">
        <v>167728.04</v>
      </c>
      <c r="I370" s="7">
        <v>18651.419999999998</v>
      </c>
      <c r="J370" s="7">
        <v>19358.02</v>
      </c>
      <c r="K370" s="7">
        <v>503</v>
      </c>
      <c r="L370" s="7">
        <v>586.1</v>
      </c>
      <c r="M370" s="7">
        <v>527.45000000000005</v>
      </c>
      <c r="N370" s="7">
        <v>0.11541314141630701</v>
      </c>
      <c r="O370" s="7">
        <v>0.52836134453781514</v>
      </c>
    </row>
    <row r="371" spans="1:15">
      <c r="A371" s="7" t="s">
        <v>85</v>
      </c>
      <c r="B371" s="7" t="s">
        <v>79</v>
      </c>
      <c r="C371" s="7" t="s">
        <v>46</v>
      </c>
      <c r="D371" s="7">
        <v>947</v>
      </c>
      <c r="E371" s="7">
        <v>312</v>
      </c>
      <c r="F371" s="7">
        <v>2077</v>
      </c>
      <c r="G371" s="7">
        <v>188668.25</v>
      </c>
      <c r="H371" s="7">
        <v>169679.56</v>
      </c>
      <c r="I371" s="7">
        <v>18988.95</v>
      </c>
      <c r="J371" s="7">
        <v>22096.59</v>
      </c>
      <c r="K371" s="7">
        <v>527</v>
      </c>
      <c r="L371" s="7">
        <v>604.71</v>
      </c>
      <c r="M371" s="7">
        <v>543.84</v>
      </c>
      <c r="N371" s="7">
        <v>0.13022540841100719</v>
      </c>
      <c r="O371" s="7">
        <v>0.55649419218585006</v>
      </c>
    </row>
    <row r="372" spans="1:15">
      <c r="A372" s="7" t="s">
        <v>85</v>
      </c>
      <c r="B372" s="7" t="s">
        <v>79</v>
      </c>
      <c r="C372" s="7" t="s">
        <v>47</v>
      </c>
      <c r="D372" s="7">
        <v>902</v>
      </c>
      <c r="E372" s="7">
        <v>291</v>
      </c>
      <c r="F372" s="7">
        <v>2006</v>
      </c>
      <c r="G372" s="7">
        <v>179591.79</v>
      </c>
      <c r="H372" s="7">
        <v>161818.29999999999</v>
      </c>
      <c r="I372" s="7">
        <v>17773.73</v>
      </c>
      <c r="J372" s="7">
        <v>12995.85</v>
      </c>
      <c r="K372" s="7">
        <v>479</v>
      </c>
      <c r="L372" s="7">
        <v>617.15</v>
      </c>
      <c r="M372" s="7">
        <v>556.08000000000004</v>
      </c>
      <c r="N372" s="7">
        <v>8.0311373929895458E-2</v>
      </c>
      <c r="O372" s="7">
        <v>0.53104212860310418</v>
      </c>
    </row>
    <row r="373" spans="1:15">
      <c r="A373" s="7" t="s">
        <v>85</v>
      </c>
      <c r="B373" s="7" t="s">
        <v>79</v>
      </c>
      <c r="C373" s="7" t="s">
        <v>48</v>
      </c>
      <c r="D373" s="7">
        <v>975</v>
      </c>
      <c r="E373" s="7">
        <v>330</v>
      </c>
      <c r="F373" s="7">
        <v>2103</v>
      </c>
      <c r="G373" s="7">
        <v>188952.73</v>
      </c>
      <c r="H373" s="7">
        <v>169624.65</v>
      </c>
      <c r="I373" s="7">
        <v>19328.259999999998</v>
      </c>
      <c r="J373" s="7">
        <v>16336.09</v>
      </c>
      <c r="K373" s="7">
        <v>564</v>
      </c>
      <c r="L373" s="7">
        <v>572.58000000000004</v>
      </c>
      <c r="M373" s="7">
        <v>514.01</v>
      </c>
      <c r="N373" s="7">
        <v>9.6307287885339779E-2</v>
      </c>
      <c r="O373" s="7">
        <v>0.57846153846153847</v>
      </c>
    </row>
    <row r="374" spans="1:15">
      <c r="A374" s="7" t="s">
        <v>85</v>
      </c>
      <c r="B374" s="7" t="s">
        <v>79</v>
      </c>
      <c r="C374" s="7" t="s">
        <v>49</v>
      </c>
      <c r="D374" s="7">
        <v>44</v>
      </c>
      <c r="E374" s="7">
        <v>12</v>
      </c>
      <c r="F374" s="7">
        <v>104</v>
      </c>
      <c r="G374" s="7">
        <v>8109.99</v>
      </c>
      <c r="H374" s="7">
        <v>7625.44</v>
      </c>
      <c r="I374" s="7">
        <v>484.57</v>
      </c>
      <c r="J374" s="7">
        <v>1671.89</v>
      </c>
      <c r="K374" s="7">
        <v>30</v>
      </c>
      <c r="L374" s="7">
        <v>675.83</v>
      </c>
      <c r="M374" s="7">
        <v>635.45000000000005</v>
      </c>
      <c r="N374" s="7">
        <v>0.21925161039887531</v>
      </c>
      <c r="O374" s="7">
        <v>0.68181818181818177</v>
      </c>
    </row>
    <row r="375" spans="1:15">
      <c r="A375" s="7" t="s">
        <v>85</v>
      </c>
      <c r="B375" s="7" t="s">
        <v>79</v>
      </c>
      <c r="C375" s="7" t="s">
        <v>53</v>
      </c>
      <c r="D375" s="7">
        <v>82</v>
      </c>
      <c r="E375" s="7">
        <v>29</v>
      </c>
      <c r="F375" s="7">
        <v>159</v>
      </c>
      <c r="G375" s="7">
        <v>15355.22</v>
      </c>
      <c r="H375" s="7">
        <v>14087.68</v>
      </c>
      <c r="I375" s="7">
        <v>1267.54</v>
      </c>
      <c r="J375" s="7">
        <v>-1089.26</v>
      </c>
      <c r="K375" s="7">
        <v>55</v>
      </c>
      <c r="L375" s="7">
        <v>529.49</v>
      </c>
      <c r="M375" s="7">
        <v>485.78</v>
      </c>
      <c r="N375" s="7">
        <v>-7.7320041341086679E-2</v>
      </c>
      <c r="O375" s="7">
        <v>0.67073170731707321</v>
      </c>
    </row>
    <row r="376" spans="1:15">
      <c r="A376" s="7" t="s">
        <v>85</v>
      </c>
      <c r="B376" s="7" t="s">
        <v>79</v>
      </c>
      <c r="C376" s="7" t="s">
        <v>54</v>
      </c>
      <c r="D376" s="7">
        <v>230</v>
      </c>
      <c r="E376" s="7">
        <v>82</v>
      </c>
      <c r="F376" s="7">
        <v>507</v>
      </c>
      <c r="G376" s="7">
        <v>44959.64</v>
      </c>
      <c r="H376" s="7">
        <v>40563.410000000003</v>
      </c>
      <c r="I376" s="7">
        <v>4396.29</v>
      </c>
      <c r="J376" s="7">
        <v>3944.62</v>
      </c>
      <c r="K376" s="7">
        <v>102</v>
      </c>
      <c r="L376" s="7">
        <v>548.29</v>
      </c>
      <c r="M376" s="7">
        <v>494.68</v>
      </c>
      <c r="N376" s="7">
        <v>9.7245769031745588E-2</v>
      </c>
      <c r="O376" s="7">
        <v>0.44347826086956521</v>
      </c>
    </row>
    <row r="377" spans="1:15">
      <c r="A377" s="7" t="s">
        <v>85</v>
      </c>
      <c r="B377" s="7" t="s">
        <v>79</v>
      </c>
      <c r="C377" s="7" t="s">
        <v>55</v>
      </c>
      <c r="D377" s="7">
        <v>311</v>
      </c>
      <c r="E377" s="7">
        <v>108</v>
      </c>
      <c r="F377" s="7">
        <v>642</v>
      </c>
      <c r="G377" s="7">
        <v>62645.82</v>
      </c>
      <c r="H377" s="7">
        <v>55935.97</v>
      </c>
      <c r="I377" s="7">
        <v>6709.94</v>
      </c>
      <c r="J377" s="7">
        <v>6881.79</v>
      </c>
      <c r="K377" s="7">
        <v>205</v>
      </c>
      <c r="L377" s="7">
        <v>580.04999999999995</v>
      </c>
      <c r="M377" s="7">
        <v>517.92999999999995</v>
      </c>
      <c r="N377" s="7">
        <v>0.12302977851282457</v>
      </c>
      <c r="O377" s="7">
        <v>0.65916398713826363</v>
      </c>
    </row>
    <row r="378" spans="1:15">
      <c r="A378" s="7" t="s">
        <v>85</v>
      </c>
      <c r="B378" s="7" t="s">
        <v>79</v>
      </c>
      <c r="C378" s="7" t="s">
        <v>56</v>
      </c>
      <c r="D378" s="7">
        <v>279</v>
      </c>
      <c r="E378" s="7">
        <v>93</v>
      </c>
      <c r="F378" s="7">
        <v>580</v>
      </c>
      <c r="G378" s="7">
        <v>55263.85</v>
      </c>
      <c r="H378" s="7">
        <v>49846.33</v>
      </c>
      <c r="I378" s="7">
        <v>5417.6</v>
      </c>
      <c r="J378" s="7">
        <v>7027.06</v>
      </c>
      <c r="K378" s="7">
        <v>133</v>
      </c>
      <c r="L378" s="7">
        <v>594.23</v>
      </c>
      <c r="M378" s="7">
        <v>535.98</v>
      </c>
      <c r="N378" s="7">
        <v>0.14097447093898385</v>
      </c>
      <c r="O378" s="7">
        <v>0.47670250896057348</v>
      </c>
    </row>
    <row r="379" spans="1:15">
      <c r="A379" s="7" t="s">
        <v>85</v>
      </c>
      <c r="B379" s="7" t="s">
        <v>79</v>
      </c>
      <c r="C379" s="7" t="s">
        <v>57</v>
      </c>
      <c r="D379" s="7">
        <v>338</v>
      </c>
      <c r="E379" s="7">
        <v>113</v>
      </c>
      <c r="F379" s="7">
        <v>801</v>
      </c>
      <c r="G379" s="7">
        <v>64629.760000000002</v>
      </c>
      <c r="H379" s="7">
        <v>58365.87</v>
      </c>
      <c r="I379" s="7">
        <v>6263.99</v>
      </c>
      <c r="J379" s="7">
        <v>5431.43</v>
      </c>
      <c r="K379" s="7">
        <v>192</v>
      </c>
      <c r="L379" s="7">
        <v>571.94000000000005</v>
      </c>
      <c r="M379" s="7">
        <v>516.51</v>
      </c>
      <c r="N379" s="7">
        <v>9.3058323297502465E-2</v>
      </c>
      <c r="O379" s="7">
        <v>0.56804733727810652</v>
      </c>
    </row>
    <row r="380" spans="1:15">
      <c r="A380" s="7" t="s">
        <v>85</v>
      </c>
      <c r="B380" s="7" t="s">
        <v>79</v>
      </c>
      <c r="C380" s="7" t="s">
        <v>58</v>
      </c>
      <c r="D380" s="7">
        <v>138</v>
      </c>
      <c r="E380" s="7">
        <v>52</v>
      </c>
      <c r="F380" s="7">
        <v>303</v>
      </c>
      <c r="G380" s="7">
        <v>27222.04</v>
      </c>
      <c r="H380" s="7">
        <v>24216.76</v>
      </c>
      <c r="I380" s="7">
        <v>3005.31</v>
      </c>
      <c r="J380" s="7">
        <v>4978.74</v>
      </c>
      <c r="K380" s="7">
        <v>73</v>
      </c>
      <c r="L380" s="7">
        <v>523.5</v>
      </c>
      <c r="M380" s="7">
        <v>465.71</v>
      </c>
      <c r="N380" s="7">
        <v>0.20559067356657124</v>
      </c>
      <c r="O380" s="7">
        <v>0.52898550724637683</v>
      </c>
    </row>
    <row r="381" spans="1:15">
      <c r="A381" s="7" t="s">
        <v>85</v>
      </c>
      <c r="B381" s="7" t="s">
        <v>79</v>
      </c>
      <c r="C381" s="7" t="s">
        <v>68</v>
      </c>
      <c r="D381" s="7">
        <v>240</v>
      </c>
      <c r="E381" s="7">
        <v>240</v>
      </c>
      <c r="F381" s="7">
        <v>240</v>
      </c>
      <c r="G381" s="7">
        <v>69108.160000000003</v>
      </c>
      <c r="H381" s="7">
        <v>62131.47</v>
      </c>
      <c r="I381" s="7">
        <v>6976.79</v>
      </c>
      <c r="J381" s="7">
        <v>6720.77</v>
      </c>
      <c r="K381" s="7">
        <v>136</v>
      </c>
      <c r="L381" s="7">
        <v>287.95</v>
      </c>
      <c r="M381" s="7">
        <v>258.88</v>
      </c>
      <c r="N381" s="7">
        <v>0.1081701430852996</v>
      </c>
      <c r="O381" s="7">
        <v>0.56666666666666665</v>
      </c>
    </row>
    <row r="382" spans="1:15">
      <c r="A382" s="7" t="s">
        <v>85</v>
      </c>
      <c r="B382" s="7" t="s">
        <v>79</v>
      </c>
      <c r="C382" s="7" t="s">
        <v>69</v>
      </c>
      <c r="D382" s="7">
        <v>367</v>
      </c>
      <c r="E382" s="7">
        <v>367</v>
      </c>
      <c r="F382" s="7">
        <v>367</v>
      </c>
      <c r="G382" s="7">
        <v>72829.7</v>
      </c>
      <c r="H382" s="7">
        <v>65504.84</v>
      </c>
      <c r="I382" s="7">
        <v>7325.08</v>
      </c>
      <c r="J382" s="7">
        <v>8293.7900000000009</v>
      </c>
      <c r="K382" s="7">
        <v>205</v>
      </c>
      <c r="L382" s="7">
        <v>198.45</v>
      </c>
      <c r="M382" s="7">
        <v>178.49</v>
      </c>
      <c r="N382" s="7">
        <v>0.12661339223178011</v>
      </c>
      <c r="O382" s="7">
        <v>0.55858310626703001</v>
      </c>
    </row>
    <row r="383" spans="1:15">
      <c r="A383" s="7" t="s">
        <v>85</v>
      </c>
      <c r="B383" s="7" t="s">
        <v>79</v>
      </c>
      <c r="C383" s="7" t="s">
        <v>70</v>
      </c>
      <c r="D383" s="7">
        <v>435</v>
      </c>
      <c r="E383" s="7">
        <v>435</v>
      </c>
      <c r="F383" s="7">
        <v>435</v>
      </c>
      <c r="G383" s="7">
        <v>64089.68</v>
      </c>
      <c r="H383" s="7">
        <v>57409.67</v>
      </c>
      <c r="I383" s="7">
        <v>6680.4</v>
      </c>
      <c r="J383" s="7">
        <v>9983.24</v>
      </c>
      <c r="K383" s="7">
        <v>258</v>
      </c>
      <c r="L383" s="7">
        <v>147.33000000000001</v>
      </c>
      <c r="M383" s="7">
        <v>131.97999999999999</v>
      </c>
      <c r="N383" s="7">
        <v>0.17389474630319249</v>
      </c>
      <c r="O383" s="7">
        <v>0.59310344827586203</v>
      </c>
    </row>
    <row r="384" spans="1:15">
      <c r="A384" s="7" t="s">
        <v>86</v>
      </c>
      <c r="B384" s="7" t="s">
        <v>2</v>
      </c>
      <c r="C384" s="7" t="s">
        <v>49</v>
      </c>
      <c r="D384" s="7">
        <v>4938</v>
      </c>
      <c r="E384" s="7">
        <v>1656</v>
      </c>
      <c r="F384" s="7">
        <v>10820</v>
      </c>
      <c r="G384" s="7">
        <v>969596.49</v>
      </c>
      <c r="H384" s="7">
        <v>871756.28</v>
      </c>
      <c r="I384" s="7">
        <v>97841.34</v>
      </c>
      <c r="J384" s="7">
        <v>109011.83</v>
      </c>
      <c r="K384" s="7">
        <v>2726</v>
      </c>
      <c r="L384" s="7">
        <v>585.51</v>
      </c>
      <c r="M384" s="7">
        <v>526.41999999999996</v>
      </c>
      <c r="N384" s="7">
        <v>0.12504851700064609</v>
      </c>
      <c r="O384" s="7">
        <v>0.55204536249493719</v>
      </c>
    </row>
    <row r="385" spans="1:15">
      <c r="A385" s="7" t="s">
        <v>86</v>
      </c>
      <c r="B385" s="7" t="s">
        <v>2</v>
      </c>
      <c r="C385" s="7" t="s">
        <v>50</v>
      </c>
      <c r="D385" s="7">
        <v>5302</v>
      </c>
      <c r="E385" s="7">
        <v>1763</v>
      </c>
      <c r="F385" s="7">
        <v>11603</v>
      </c>
      <c r="G385" s="7">
        <v>1029400.18</v>
      </c>
      <c r="H385" s="7">
        <v>924978.21</v>
      </c>
      <c r="I385" s="7">
        <v>104423.22</v>
      </c>
      <c r="J385" s="7">
        <v>110716.12</v>
      </c>
      <c r="K385" s="7">
        <v>2951</v>
      </c>
      <c r="L385" s="7">
        <v>583.89</v>
      </c>
      <c r="M385" s="7">
        <v>524.66</v>
      </c>
      <c r="N385" s="7">
        <v>0.11969592235043029</v>
      </c>
      <c r="O385" s="7">
        <v>0.55658242172764993</v>
      </c>
    </row>
    <row r="386" spans="1:15">
      <c r="A386" s="7" t="s">
        <v>86</v>
      </c>
      <c r="B386" s="7" t="s">
        <v>2</v>
      </c>
      <c r="C386" s="7" t="s">
        <v>51</v>
      </c>
      <c r="D386" s="7">
        <v>5054</v>
      </c>
      <c r="E386" s="7">
        <v>1690</v>
      </c>
      <c r="F386" s="7">
        <v>11008</v>
      </c>
      <c r="G386" s="7">
        <v>1003059.53</v>
      </c>
      <c r="H386" s="7">
        <v>901448</v>
      </c>
      <c r="I386" s="7">
        <v>101612.76</v>
      </c>
      <c r="J386" s="7">
        <v>104196.07</v>
      </c>
      <c r="K386" s="7">
        <v>2873</v>
      </c>
      <c r="L386" s="7">
        <v>593.53</v>
      </c>
      <c r="M386" s="7">
        <v>533.4</v>
      </c>
      <c r="N386" s="7">
        <v>0.11558744375715516</v>
      </c>
      <c r="O386" s="7">
        <v>0.56846062524732888</v>
      </c>
    </row>
    <row r="387" spans="1:15">
      <c r="A387" s="7" t="s">
        <v>86</v>
      </c>
      <c r="B387" s="7" t="s">
        <v>2</v>
      </c>
      <c r="C387" s="7" t="s">
        <v>52</v>
      </c>
      <c r="D387" s="7">
        <v>5305</v>
      </c>
      <c r="E387" s="7">
        <v>1758</v>
      </c>
      <c r="F387" s="7">
        <v>11652</v>
      </c>
      <c r="G387" s="7">
        <v>1045715.6</v>
      </c>
      <c r="H387" s="7">
        <v>939216.39</v>
      </c>
      <c r="I387" s="7">
        <v>106500.52</v>
      </c>
      <c r="J387" s="7">
        <v>119941.72</v>
      </c>
      <c r="K387" s="7">
        <v>2755</v>
      </c>
      <c r="L387" s="7">
        <v>594.83000000000004</v>
      </c>
      <c r="M387" s="7">
        <v>534.25</v>
      </c>
      <c r="N387" s="7">
        <v>0.12770403208146741</v>
      </c>
      <c r="O387" s="7">
        <v>0.51932139491046181</v>
      </c>
    </row>
    <row r="388" spans="1:15">
      <c r="A388" s="7" t="s">
        <v>86</v>
      </c>
      <c r="B388" s="7" t="s">
        <v>2</v>
      </c>
      <c r="C388" s="7" t="s">
        <v>53</v>
      </c>
      <c r="D388" s="7">
        <v>4288</v>
      </c>
      <c r="E388" s="7">
        <v>1417</v>
      </c>
      <c r="F388" s="7">
        <v>9461</v>
      </c>
      <c r="G388" s="7">
        <v>842099.74</v>
      </c>
      <c r="H388" s="7">
        <v>757246.09</v>
      </c>
      <c r="I388" s="7">
        <v>84854.62</v>
      </c>
      <c r="J388" s="7">
        <v>98509.66</v>
      </c>
      <c r="K388" s="7">
        <v>2378</v>
      </c>
      <c r="L388" s="7">
        <v>594.28</v>
      </c>
      <c r="M388" s="7">
        <v>534.4</v>
      </c>
      <c r="N388" s="7">
        <v>0.13008936104245847</v>
      </c>
      <c r="O388" s="7">
        <v>0.55457089552238803</v>
      </c>
    </row>
    <row r="389" spans="1:15">
      <c r="A389" s="7" t="s">
        <v>86</v>
      </c>
      <c r="B389" s="7" t="s">
        <v>2</v>
      </c>
      <c r="C389" s="7" t="s">
        <v>54</v>
      </c>
      <c r="D389" s="7">
        <v>193</v>
      </c>
      <c r="E389" s="7">
        <v>58</v>
      </c>
      <c r="F389" s="7">
        <v>444</v>
      </c>
      <c r="G389" s="7">
        <v>33216.65</v>
      </c>
      <c r="H389" s="7">
        <v>29695.62</v>
      </c>
      <c r="I389" s="7">
        <v>3521.07</v>
      </c>
      <c r="J389" s="7">
        <v>1737.1</v>
      </c>
      <c r="K389" s="7">
        <v>116</v>
      </c>
      <c r="L389" s="7">
        <v>572.70000000000005</v>
      </c>
      <c r="M389" s="7">
        <v>511.99</v>
      </c>
      <c r="N389" s="7">
        <v>5.8496842295261052E-2</v>
      </c>
      <c r="O389" s="7">
        <v>0.60103626943005184</v>
      </c>
    </row>
    <row r="390" spans="1:15">
      <c r="A390" s="7" t="s">
        <v>86</v>
      </c>
      <c r="B390" s="7" t="s">
        <v>2</v>
      </c>
      <c r="C390" s="7" t="s">
        <v>55</v>
      </c>
      <c r="D390" s="7">
        <v>173</v>
      </c>
      <c r="E390" s="7">
        <v>58</v>
      </c>
      <c r="F390" s="7">
        <v>379</v>
      </c>
      <c r="G390" s="7">
        <v>31824.83</v>
      </c>
      <c r="H390" s="7">
        <v>28720.44</v>
      </c>
      <c r="I390" s="7">
        <v>3104.42</v>
      </c>
      <c r="J390" s="7">
        <v>4002.22</v>
      </c>
      <c r="K390" s="7">
        <v>63</v>
      </c>
      <c r="L390" s="7">
        <v>548.70000000000005</v>
      </c>
      <c r="M390" s="7">
        <v>495.18</v>
      </c>
      <c r="N390" s="7">
        <v>0.13935092916403788</v>
      </c>
      <c r="O390" s="7">
        <v>0.36416184971098264</v>
      </c>
    </row>
    <row r="391" spans="1:15">
      <c r="A391" s="7" t="s">
        <v>86</v>
      </c>
      <c r="B391" s="7" t="s">
        <v>2</v>
      </c>
      <c r="C391" s="7" t="s">
        <v>56</v>
      </c>
      <c r="D391" s="7">
        <v>219</v>
      </c>
      <c r="E391" s="7">
        <v>68</v>
      </c>
      <c r="F391" s="7">
        <v>509</v>
      </c>
      <c r="G391" s="7">
        <v>47801.35</v>
      </c>
      <c r="H391" s="7">
        <v>43343.07</v>
      </c>
      <c r="I391" s="7">
        <v>4458.3100000000004</v>
      </c>
      <c r="J391" s="7">
        <v>6924.61</v>
      </c>
      <c r="K391" s="7">
        <v>126</v>
      </c>
      <c r="L391" s="7">
        <v>702.96</v>
      </c>
      <c r="M391" s="7">
        <v>637.4</v>
      </c>
      <c r="N391" s="7">
        <v>0.15976279483663708</v>
      </c>
      <c r="O391" s="7">
        <v>0.57534246575342463</v>
      </c>
    </row>
    <row r="392" spans="1:15">
      <c r="A392" s="7" t="s">
        <v>86</v>
      </c>
      <c r="B392" s="7" t="s">
        <v>2</v>
      </c>
      <c r="C392" s="7" t="s">
        <v>57</v>
      </c>
      <c r="D392" s="7">
        <v>209</v>
      </c>
      <c r="E392" s="7">
        <v>70</v>
      </c>
      <c r="F392" s="7">
        <v>474</v>
      </c>
      <c r="G392" s="7">
        <v>40751.050000000003</v>
      </c>
      <c r="H392" s="7">
        <v>36581.370000000003</v>
      </c>
      <c r="I392" s="7">
        <v>4169.71</v>
      </c>
      <c r="J392" s="7">
        <v>5087.8900000000003</v>
      </c>
      <c r="K392" s="7">
        <v>103</v>
      </c>
      <c r="L392" s="7">
        <v>582.16</v>
      </c>
      <c r="M392" s="7">
        <v>522.59</v>
      </c>
      <c r="N392" s="7">
        <v>0.13908418410792159</v>
      </c>
      <c r="O392" s="7">
        <v>0.49282296650717705</v>
      </c>
    </row>
    <row r="393" spans="1:15">
      <c r="A393" s="7" t="s">
        <v>86</v>
      </c>
      <c r="B393" s="7" t="s">
        <v>2</v>
      </c>
      <c r="C393" s="7" t="s">
        <v>58</v>
      </c>
      <c r="D393" s="7">
        <v>118</v>
      </c>
      <c r="E393" s="7">
        <v>41</v>
      </c>
      <c r="F393" s="7">
        <v>266</v>
      </c>
      <c r="G393" s="7">
        <v>23063.19</v>
      </c>
      <c r="H393" s="7">
        <v>20514.400000000001</v>
      </c>
      <c r="I393" s="7">
        <v>2548.85</v>
      </c>
      <c r="J393" s="7">
        <v>4186.5600000000004</v>
      </c>
      <c r="K393" s="7">
        <v>47</v>
      </c>
      <c r="L393" s="7">
        <v>562.52</v>
      </c>
      <c r="M393" s="7">
        <v>500.35</v>
      </c>
      <c r="N393" s="7">
        <v>0.2040790859103849</v>
      </c>
      <c r="O393" s="7">
        <v>0.39830508474576271</v>
      </c>
    </row>
    <row r="394" spans="1:15">
      <c r="A394" s="7" t="s">
        <v>86</v>
      </c>
      <c r="B394" s="7" t="s">
        <v>77</v>
      </c>
      <c r="C394" s="7" t="s">
        <v>49</v>
      </c>
      <c r="D394" s="7">
        <v>2544</v>
      </c>
      <c r="E394" s="7">
        <v>863</v>
      </c>
      <c r="F394" s="7">
        <v>5550</v>
      </c>
      <c r="G394" s="7">
        <v>502236.03</v>
      </c>
      <c r="H394" s="7">
        <v>452231.07</v>
      </c>
      <c r="I394" s="7">
        <v>50005.56</v>
      </c>
      <c r="J394" s="7">
        <v>54588.35</v>
      </c>
      <c r="K394" s="7">
        <v>1380</v>
      </c>
      <c r="L394" s="7">
        <v>581.97</v>
      </c>
      <c r="M394" s="7">
        <v>524.02</v>
      </c>
      <c r="N394" s="7">
        <v>0.12070897738185038</v>
      </c>
      <c r="O394" s="7">
        <v>0.54245283018867929</v>
      </c>
    </row>
    <row r="395" spans="1:15">
      <c r="A395" s="7" t="s">
        <v>86</v>
      </c>
      <c r="B395" s="7" t="s">
        <v>77</v>
      </c>
      <c r="C395" s="7" t="s">
        <v>50</v>
      </c>
      <c r="D395" s="7">
        <v>2805</v>
      </c>
      <c r="E395" s="7">
        <v>942</v>
      </c>
      <c r="F395" s="7">
        <v>6088</v>
      </c>
      <c r="G395" s="7">
        <v>539841.15</v>
      </c>
      <c r="H395" s="7">
        <v>484857.27</v>
      </c>
      <c r="I395" s="7">
        <v>54984.51</v>
      </c>
      <c r="J395" s="7">
        <v>63626.83</v>
      </c>
      <c r="K395" s="7">
        <v>1558</v>
      </c>
      <c r="L395" s="7">
        <v>573.08000000000004</v>
      </c>
      <c r="M395" s="7">
        <v>514.71</v>
      </c>
      <c r="N395" s="7">
        <v>0.13122795910639848</v>
      </c>
      <c r="O395" s="7">
        <v>0.55543672014260248</v>
      </c>
    </row>
    <row r="396" spans="1:15">
      <c r="A396" s="7" t="s">
        <v>86</v>
      </c>
      <c r="B396" s="7" t="s">
        <v>77</v>
      </c>
      <c r="C396" s="7" t="s">
        <v>51</v>
      </c>
      <c r="D396" s="7">
        <v>2645</v>
      </c>
      <c r="E396" s="7">
        <v>887</v>
      </c>
      <c r="F396" s="7">
        <v>5645</v>
      </c>
      <c r="G396" s="7">
        <v>521058.74</v>
      </c>
      <c r="H396" s="7">
        <v>467881.96</v>
      </c>
      <c r="I396" s="7">
        <v>53177.42</v>
      </c>
      <c r="J396" s="7">
        <v>57407.72</v>
      </c>
      <c r="K396" s="7">
        <v>1501</v>
      </c>
      <c r="L396" s="7">
        <v>587.44000000000005</v>
      </c>
      <c r="M396" s="7">
        <v>527.49</v>
      </c>
      <c r="N396" s="7">
        <v>0.12269701528992483</v>
      </c>
      <c r="O396" s="7">
        <v>0.56748582230623823</v>
      </c>
    </row>
    <row r="397" spans="1:15">
      <c r="A397" s="7" t="s">
        <v>86</v>
      </c>
      <c r="B397" s="7" t="s">
        <v>77</v>
      </c>
      <c r="C397" s="7" t="s">
        <v>52</v>
      </c>
      <c r="D397" s="7">
        <v>2778</v>
      </c>
      <c r="E397" s="7">
        <v>917</v>
      </c>
      <c r="F397" s="7">
        <v>6098</v>
      </c>
      <c r="G397" s="7">
        <v>554767.88</v>
      </c>
      <c r="H397" s="7">
        <v>498315.89</v>
      </c>
      <c r="I397" s="7">
        <v>56452.74</v>
      </c>
      <c r="J397" s="7">
        <v>59785.22</v>
      </c>
      <c r="K397" s="7">
        <v>1393</v>
      </c>
      <c r="L397" s="7">
        <v>604.98</v>
      </c>
      <c r="M397" s="7">
        <v>543.41999999999996</v>
      </c>
      <c r="N397" s="7">
        <v>0.11997454064729904</v>
      </c>
      <c r="O397" s="7">
        <v>0.50143988480921531</v>
      </c>
    </row>
    <row r="398" spans="1:15">
      <c r="A398" s="7" t="s">
        <v>86</v>
      </c>
      <c r="B398" s="7" t="s">
        <v>77</v>
      </c>
      <c r="C398" s="7" t="s">
        <v>53</v>
      </c>
      <c r="D398" s="7">
        <v>2284</v>
      </c>
      <c r="E398" s="7">
        <v>757</v>
      </c>
      <c r="F398" s="7">
        <v>4979</v>
      </c>
      <c r="G398" s="7">
        <v>453283.21</v>
      </c>
      <c r="H398" s="7">
        <v>407957.18</v>
      </c>
      <c r="I398" s="7">
        <v>45326.59</v>
      </c>
      <c r="J398" s="7">
        <v>56019.39</v>
      </c>
      <c r="K398" s="7">
        <v>1260</v>
      </c>
      <c r="L398" s="7">
        <v>598.79</v>
      </c>
      <c r="M398" s="7">
        <v>538.91</v>
      </c>
      <c r="N398" s="7">
        <v>0.13731683800736147</v>
      </c>
      <c r="O398" s="7">
        <v>0.55166374781085814</v>
      </c>
    </row>
    <row r="399" spans="1:15">
      <c r="A399" s="7" t="s">
        <v>86</v>
      </c>
      <c r="B399" s="7" t="s">
        <v>77</v>
      </c>
      <c r="C399" s="7" t="s">
        <v>54</v>
      </c>
      <c r="D399" s="7">
        <v>96</v>
      </c>
      <c r="E399" s="7">
        <v>25</v>
      </c>
      <c r="F399" s="7">
        <v>219</v>
      </c>
      <c r="G399" s="7">
        <v>17509.91</v>
      </c>
      <c r="H399" s="7">
        <v>15364.63</v>
      </c>
      <c r="I399" s="7">
        <v>2145.31</v>
      </c>
      <c r="J399" s="7">
        <v>843.21</v>
      </c>
      <c r="K399" s="7">
        <v>58</v>
      </c>
      <c r="L399" s="7">
        <v>700.4</v>
      </c>
      <c r="M399" s="7">
        <v>614.59</v>
      </c>
      <c r="N399" s="7">
        <v>5.4879941788380196E-2</v>
      </c>
      <c r="O399" s="7">
        <v>0.60416666666666663</v>
      </c>
    </row>
    <row r="400" spans="1:15">
      <c r="A400" s="7" t="s">
        <v>86</v>
      </c>
      <c r="B400" s="7" t="s">
        <v>77</v>
      </c>
      <c r="C400" s="7" t="s">
        <v>55</v>
      </c>
      <c r="D400" s="7">
        <v>102</v>
      </c>
      <c r="E400" s="7">
        <v>37</v>
      </c>
      <c r="F400" s="7">
        <v>221</v>
      </c>
      <c r="G400" s="7">
        <v>19595.669999999998</v>
      </c>
      <c r="H400" s="7">
        <v>17800.63</v>
      </c>
      <c r="I400" s="7">
        <v>1795.06</v>
      </c>
      <c r="J400" s="7">
        <v>2448.44</v>
      </c>
      <c r="K400" s="7">
        <v>25</v>
      </c>
      <c r="L400" s="7">
        <v>529.61</v>
      </c>
      <c r="M400" s="7">
        <v>481.1</v>
      </c>
      <c r="N400" s="7">
        <v>0.13754794071895207</v>
      </c>
      <c r="O400" s="7">
        <v>0.24509803921568626</v>
      </c>
    </row>
    <row r="401" spans="1:15">
      <c r="A401" s="7" t="s">
        <v>86</v>
      </c>
      <c r="B401" s="7" t="s">
        <v>77</v>
      </c>
      <c r="C401" s="7" t="s">
        <v>56</v>
      </c>
      <c r="D401" s="7">
        <v>104</v>
      </c>
      <c r="E401" s="7">
        <v>32</v>
      </c>
      <c r="F401" s="7">
        <v>241</v>
      </c>
      <c r="G401" s="7">
        <v>22396.33</v>
      </c>
      <c r="H401" s="7">
        <v>20203.439999999999</v>
      </c>
      <c r="I401" s="7">
        <v>2192.91</v>
      </c>
      <c r="J401" s="7">
        <v>4551.08</v>
      </c>
      <c r="K401" s="7">
        <v>65</v>
      </c>
      <c r="L401" s="7">
        <v>699.89</v>
      </c>
      <c r="M401" s="7">
        <v>631.36</v>
      </c>
      <c r="N401" s="7">
        <v>0.22526262854246604</v>
      </c>
      <c r="O401" s="7">
        <v>0.625</v>
      </c>
    </row>
    <row r="402" spans="1:15">
      <c r="A402" s="7" t="s">
        <v>86</v>
      </c>
      <c r="B402" s="7" t="s">
        <v>77</v>
      </c>
      <c r="C402" s="7" t="s">
        <v>57</v>
      </c>
      <c r="D402" s="7">
        <v>86</v>
      </c>
      <c r="E402" s="7">
        <v>29</v>
      </c>
      <c r="F402" s="7">
        <v>214</v>
      </c>
      <c r="G402" s="7">
        <v>16518.96</v>
      </c>
      <c r="H402" s="7">
        <v>14909.54</v>
      </c>
      <c r="I402" s="7">
        <v>1609.44</v>
      </c>
      <c r="J402" s="7">
        <v>1415.17</v>
      </c>
      <c r="K402" s="7">
        <v>37</v>
      </c>
      <c r="L402" s="7">
        <v>569.62</v>
      </c>
      <c r="M402" s="7">
        <v>514.12</v>
      </c>
      <c r="N402" s="7">
        <v>9.4917079936738494E-2</v>
      </c>
      <c r="O402" s="7">
        <v>0.43023255813953487</v>
      </c>
    </row>
    <row r="403" spans="1:15">
      <c r="A403" s="7" t="s">
        <v>86</v>
      </c>
      <c r="B403" s="7" t="s">
        <v>77</v>
      </c>
      <c r="C403" s="7" t="s">
        <v>58</v>
      </c>
      <c r="D403" s="7">
        <v>63</v>
      </c>
      <c r="E403" s="7">
        <v>20</v>
      </c>
      <c r="F403" s="7">
        <v>148</v>
      </c>
      <c r="G403" s="7">
        <v>13083.28</v>
      </c>
      <c r="H403" s="7">
        <v>11701.75</v>
      </c>
      <c r="I403" s="7">
        <v>1381.57</v>
      </c>
      <c r="J403" s="7">
        <v>2226.73</v>
      </c>
      <c r="K403" s="7">
        <v>22</v>
      </c>
      <c r="L403" s="7">
        <v>654.16</v>
      </c>
      <c r="M403" s="7">
        <v>585.09</v>
      </c>
      <c r="N403" s="7">
        <v>0.19029034118828381</v>
      </c>
      <c r="O403" s="7">
        <v>0.34920634920634919</v>
      </c>
    </row>
    <row r="404" spans="1:15">
      <c r="A404" s="7" t="s">
        <v>86</v>
      </c>
      <c r="B404" s="7" t="s">
        <v>78</v>
      </c>
      <c r="C404" s="7" t="s">
        <v>49</v>
      </c>
      <c r="D404" s="7">
        <v>1629</v>
      </c>
      <c r="E404" s="7">
        <v>538</v>
      </c>
      <c r="F404" s="7">
        <v>3588</v>
      </c>
      <c r="G404" s="7">
        <v>318083.08</v>
      </c>
      <c r="H404" s="7">
        <v>285127.61</v>
      </c>
      <c r="I404" s="7">
        <v>32955.870000000003</v>
      </c>
      <c r="J404" s="7">
        <v>34797.300000000003</v>
      </c>
      <c r="K404" s="7">
        <v>892</v>
      </c>
      <c r="L404" s="7">
        <v>591.23</v>
      </c>
      <c r="M404" s="7">
        <v>529.98</v>
      </c>
      <c r="N404" s="7">
        <v>0.12204114501573525</v>
      </c>
      <c r="O404" s="7">
        <v>0.54757519950890121</v>
      </c>
    </row>
    <row r="405" spans="1:15">
      <c r="A405" s="7" t="s">
        <v>86</v>
      </c>
      <c r="B405" s="7" t="s">
        <v>78</v>
      </c>
      <c r="C405" s="7" t="s">
        <v>50</v>
      </c>
      <c r="D405" s="7">
        <v>1601</v>
      </c>
      <c r="E405" s="7">
        <v>527</v>
      </c>
      <c r="F405" s="7">
        <v>3558</v>
      </c>
      <c r="G405" s="7">
        <v>314918.74</v>
      </c>
      <c r="H405" s="7">
        <v>283129.59999999998</v>
      </c>
      <c r="I405" s="7">
        <v>31789.56</v>
      </c>
      <c r="J405" s="7">
        <v>30567.39</v>
      </c>
      <c r="K405" s="7">
        <v>844</v>
      </c>
      <c r="L405" s="7">
        <v>597.57000000000005</v>
      </c>
      <c r="M405" s="7">
        <v>537.25</v>
      </c>
      <c r="N405" s="7">
        <v>0.10796253729740728</v>
      </c>
      <c r="O405" s="7">
        <v>0.52717051842598373</v>
      </c>
    </row>
    <row r="406" spans="1:15">
      <c r="A406" s="7" t="s">
        <v>86</v>
      </c>
      <c r="B406" s="7" t="s">
        <v>78</v>
      </c>
      <c r="C406" s="7" t="s">
        <v>51</v>
      </c>
      <c r="D406" s="7">
        <v>1510</v>
      </c>
      <c r="E406" s="7">
        <v>513</v>
      </c>
      <c r="F406" s="7">
        <v>3436</v>
      </c>
      <c r="G406" s="7">
        <v>300015.65999999997</v>
      </c>
      <c r="H406" s="7">
        <v>270342.99</v>
      </c>
      <c r="I406" s="7">
        <v>29673.040000000001</v>
      </c>
      <c r="J406" s="7">
        <v>25934.97</v>
      </c>
      <c r="K406" s="7">
        <v>902</v>
      </c>
      <c r="L406" s="7">
        <v>584.83000000000004</v>
      </c>
      <c r="M406" s="7">
        <v>526.98</v>
      </c>
      <c r="N406" s="7">
        <v>9.5933576824019012E-2</v>
      </c>
      <c r="O406" s="7">
        <v>0.59735099337748343</v>
      </c>
    </row>
    <row r="407" spans="1:15">
      <c r="A407" s="7" t="s">
        <v>86</v>
      </c>
      <c r="B407" s="7" t="s">
        <v>78</v>
      </c>
      <c r="C407" s="7" t="s">
        <v>52</v>
      </c>
      <c r="D407" s="7">
        <v>1504</v>
      </c>
      <c r="E407" s="7">
        <v>504</v>
      </c>
      <c r="F407" s="7">
        <v>3296</v>
      </c>
      <c r="G407" s="7">
        <v>289152.23</v>
      </c>
      <c r="H407" s="7">
        <v>259542.3</v>
      </c>
      <c r="I407" s="7">
        <v>29610.29</v>
      </c>
      <c r="J407" s="7">
        <v>36925.67</v>
      </c>
      <c r="K407" s="7">
        <v>812</v>
      </c>
      <c r="L407" s="7">
        <v>573.71</v>
      </c>
      <c r="M407" s="7">
        <v>514.96</v>
      </c>
      <c r="N407" s="7">
        <v>0.14227226159281164</v>
      </c>
      <c r="O407" s="7">
        <v>0.53989361702127658</v>
      </c>
    </row>
    <row r="408" spans="1:15">
      <c r="A408" s="7" t="s">
        <v>86</v>
      </c>
      <c r="B408" s="7" t="s">
        <v>78</v>
      </c>
      <c r="C408" s="7" t="s">
        <v>53</v>
      </c>
      <c r="D408" s="7">
        <v>1224</v>
      </c>
      <c r="E408" s="7">
        <v>399</v>
      </c>
      <c r="F408" s="7">
        <v>2781</v>
      </c>
      <c r="G408" s="7">
        <v>239081.97</v>
      </c>
      <c r="H408" s="7">
        <v>214827.88</v>
      </c>
      <c r="I408" s="7">
        <v>24254.3</v>
      </c>
      <c r="J408" s="7">
        <v>30078.31</v>
      </c>
      <c r="K408" s="7">
        <v>684</v>
      </c>
      <c r="L408" s="7">
        <v>599.20000000000005</v>
      </c>
      <c r="M408" s="7">
        <v>538.41999999999996</v>
      </c>
      <c r="N408" s="7">
        <v>0.14001120338756776</v>
      </c>
      <c r="O408" s="7">
        <v>0.55882352941176472</v>
      </c>
    </row>
    <row r="409" spans="1:15">
      <c r="A409" s="7" t="s">
        <v>86</v>
      </c>
      <c r="B409" s="7" t="s">
        <v>78</v>
      </c>
      <c r="C409" s="7" t="s">
        <v>54</v>
      </c>
      <c r="D409" s="7">
        <v>59</v>
      </c>
      <c r="E409" s="7">
        <v>19</v>
      </c>
      <c r="F409" s="7">
        <v>137</v>
      </c>
      <c r="G409" s="7">
        <v>9079.65</v>
      </c>
      <c r="H409" s="7">
        <v>8261.74</v>
      </c>
      <c r="I409" s="7">
        <v>817.92</v>
      </c>
      <c r="J409" s="7">
        <v>-521.27</v>
      </c>
      <c r="K409" s="7">
        <v>33</v>
      </c>
      <c r="L409" s="7">
        <v>477.88</v>
      </c>
      <c r="M409" s="7">
        <v>434.83</v>
      </c>
      <c r="N409" s="7">
        <v>-6.3094457099836118E-2</v>
      </c>
      <c r="O409" s="7">
        <v>0.55932203389830504</v>
      </c>
    </row>
    <row r="410" spans="1:15">
      <c r="A410" s="7" t="s">
        <v>86</v>
      </c>
      <c r="B410" s="7" t="s">
        <v>78</v>
      </c>
      <c r="C410" s="7" t="s">
        <v>55</v>
      </c>
      <c r="D410" s="7">
        <v>55</v>
      </c>
      <c r="E410" s="7">
        <v>15</v>
      </c>
      <c r="F410" s="7">
        <v>114</v>
      </c>
      <c r="G410" s="7">
        <v>8685.81</v>
      </c>
      <c r="H410" s="7">
        <v>7908.02</v>
      </c>
      <c r="I410" s="7">
        <v>777.8</v>
      </c>
      <c r="J410" s="7">
        <v>1214.33</v>
      </c>
      <c r="K410" s="7">
        <v>34</v>
      </c>
      <c r="L410" s="7">
        <v>579.04999999999995</v>
      </c>
      <c r="M410" s="7">
        <v>527.20000000000005</v>
      </c>
      <c r="N410" s="7">
        <v>0.15355676895101428</v>
      </c>
      <c r="O410" s="7">
        <v>0.61818181818181817</v>
      </c>
    </row>
    <row r="411" spans="1:15">
      <c r="A411" s="7" t="s">
        <v>86</v>
      </c>
      <c r="B411" s="7" t="s">
        <v>78</v>
      </c>
      <c r="C411" s="7" t="s">
        <v>56</v>
      </c>
      <c r="D411" s="7">
        <v>42</v>
      </c>
      <c r="E411" s="7">
        <v>14</v>
      </c>
      <c r="F411" s="7">
        <v>116</v>
      </c>
      <c r="G411" s="7">
        <v>9268.67</v>
      </c>
      <c r="H411" s="7">
        <v>8340.41</v>
      </c>
      <c r="I411" s="7">
        <v>928.26</v>
      </c>
      <c r="J411" s="7">
        <v>621.08000000000004</v>
      </c>
      <c r="K411" s="7">
        <v>24</v>
      </c>
      <c r="L411" s="7">
        <v>662.05</v>
      </c>
      <c r="M411" s="7">
        <v>595.74</v>
      </c>
      <c r="N411" s="7">
        <v>7.4466363164400778E-2</v>
      </c>
      <c r="O411" s="7">
        <v>0.5714285714285714</v>
      </c>
    </row>
    <row r="412" spans="1:15">
      <c r="A412" s="7" t="s">
        <v>86</v>
      </c>
      <c r="B412" s="7" t="s">
        <v>78</v>
      </c>
      <c r="C412" s="7" t="s">
        <v>57</v>
      </c>
      <c r="D412" s="7">
        <v>76</v>
      </c>
      <c r="E412" s="7">
        <v>26</v>
      </c>
      <c r="F412" s="7">
        <v>172</v>
      </c>
      <c r="G412" s="7">
        <v>15225.22</v>
      </c>
      <c r="H412" s="7">
        <v>13485.48</v>
      </c>
      <c r="I412" s="7">
        <v>1739.75</v>
      </c>
      <c r="J412" s="7">
        <v>1825.8</v>
      </c>
      <c r="K412" s="7">
        <v>39</v>
      </c>
      <c r="L412" s="7">
        <v>585.59</v>
      </c>
      <c r="M412" s="7">
        <v>518.66999999999996</v>
      </c>
      <c r="N412" s="7">
        <v>0.13539006397992506</v>
      </c>
      <c r="O412" s="7">
        <v>0.51315789473684215</v>
      </c>
    </row>
    <row r="413" spans="1:15">
      <c r="A413" s="7" t="s">
        <v>86</v>
      </c>
      <c r="B413" s="7" t="s">
        <v>78</v>
      </c>
      <c r="C413" s="7" t="s">
        <v>58</v>
      </c>
      <c r="D413" s="7">
        <v>41</v>
      </c>
      <c r="E413" s="7">
        <v>15</v>
      </c>
      <c r="F413" s="7">
        <v>97</v>
      </c>
      <c r="G413" s="7">
        <v>7360.17</v>
      </c>
      <c r="H413" s="7">
        <v>6589.49</v>
      </c>
      <c r="I413" s="7">
        <v>770.68</v>
      </c>
      <c r="J413" s="7">
        <v>1274.56</v>
      </c>
      <c r="K413" s="7">
        <v>21</v>
      </c>
      <c r="L413" s="7">
        <v>490.68</v>
      </c>
      <c r="M413" s="7">
        <v>439.3</v>
      </c>
      <c r="N413" s="7">
        <v>0.19342316324935618</v>
      </c>
      <c r="O413" s="7">
        <v>0.51219512195121952</v>
      </c>
    </row>
    <row r="414" spans="1:15">
      <c r="A414" s="7" t="s">
        <v>86</v>
      </c>
      <c r="B414" s="7" t="s">
        <v>79</v>
      </c>
      <c r="C414" s="7" t="s">
        <v>49</v>
      </c>
      <c r="D414" s="7">
        <v>765</v>
      </c>
      <c r="E414" s="7">
        <v>255</v>
      </c>
      <c r="F414" s="7">
        <v>1682</v>
      </c>
      <c r="G414" s="7">
        <v>149277.38</v>
      </c>
      <c r="H414" s="7">
        <v>134397.6</v>
      </c>
      <c r="I414" s="7">
        <v>14879.91</v>
      </c>
      <c r="J414" s="7">
        <v>19626.18</v>
      </c>
      <c r="K414" s="7">
        <v>454</v>
      </c>
      <c r="L414" s="7">
        <v>585.4</v>
      </c>
      <c r="M414" s="7">
        <v>527.04999999999995</v>
      </c>
      <c r="N414" s="7">
        <v>0.1460307326916552</v>
      </c>
      <c r="O414" s="7">
        <v>0.5934640522875817</v>
      </c>
    </row>
    <row r="415" spans="1:15">
      <c r="A415" s="7" t="s">
        <v>86</v>
      </c>
      <c r="B415" s="7" t="s">
        <v>79</v>
      </c>
      <c r="C415" s="7" t="s">
        <v>50</v>
      </c>
      <c r="D415" s="7">
        <v>896</v>
      </c>
      <c r="E415" s="7">
        <v>294</v>
      </c>
      <c r="F415" s="7">
        <v>1957</v>
      </c>
      <c r="G415" s="7">
        <v>174640.29</v>
      </c>
      <c r="H415" s="7">
        <v>156991.34</v>
      </c>
      <c r="I415" s="7">
        <v>17649.150000000001</v>
      </c>
      <c r="J415" s="7">
        <v>16521.900000000001</v>
      </c>
      <c r="K415" s="7">
        <v>549</v>
      </c>
      <c r="L415" s="7">
        <v>594.01</v>
      </c>
      <c r="M415" s="7">
        <v>533.98</v>
      </c>
      <c r="N415" s="7">
        <v>0.10524083685125563</v>
      </c>
      <c r="O415" s="7">
        <v>0.6127232142857143</v>
      </c>
    </row>
    <row r="416" spans="1:15">
      <c r="A416" s="7" t="s">
        <v>86</v>
      </c>
      <c r="B416" s="7" t="s">
        <v>79</v>
      </c>
      <c r="C416" s="7" t="s">
        <v>51</v>
      </c>
      <c r="D416" s="7">
        <v>899</v>
      </c>
      <c r="E416" s="7">
        <v>290</v>
      </c>
      <c r="F416" s="7">
        <v>1927</v>
      </c>
      <c r="G416" s="7">
        <v>181985.13</v>
      </c>
      <c r="H416" s="7">
        <v>163223.04999999999</v>
      </c>
      <c r="I416" s="7">
        <v>18762.3</v>
      </c>
      <c r="J416" s="7">
        <v>20853.38</v>
      </c>
      <c r="K416" s="7">
        <v>470</v>
      </c>
      <c r="L416" s="7">
        <v>627.53</v>
      </c>
      <c r="M416" s="7">
        <v>562.84</v>
      </c>
      <c r="N416" s="7">
        <v>0.12776001918846633</v>
      </c>
      <c r="O416" s="7">
        <v>0.52280311457174633</v>
      </c>
    </row>
    <row r="417" spans="1:15">
      <c r="A417" s="7" t="s">
        <v>86</v>
      </c>
      <c r="B417" s="7" t="s">
        <v>79</v>
      </c>
      <c r="C417" s="7" t="s">
        <v>52</v>
      </c>
      <c r="D417" s="7">
        <v>1023</v>
      </c>
      <c r="E417" s="7">
        <v>337</v>
      </c>
      <c r="F417" s="7">
        <v>2258</v>
      </c>
      <c r="G417" s="7">
        <v>201795.49</v>
      </c>
      <c r="H417" s="7">
        <v>181358.2</v>
      </c>
      <c r="I417" s="7">
        <v>20437.490000000002</v>
      </c>
      <c r="J417" s="7">
        <v>23230.83</v>
      </c>
      <c r="K417" s="7">
        <v>550</v>
      </c>
      <c r="L417" s="7">
        <v>598.79999999999995</v>
      </c>
      <c r="M417" s="7">
        <v>538.15</v>
      </c>
      <c r="N417" s="7">
        <v>0.12809362907218974</v>
      </c>
      <c r="O417" s="7">
        <v>0.5376344086021505</v>
      </c>
    </row>
    <row r="418" spans="1:15">
      <c r="A418" s="7" t="s">
        <v>86</v>
      </c>
      <c r="B418" s="7" t="s">
        <v>79</v>
      </c>
      <c r="C418" s="7" t="s">
        <v>53</v>
      </c>
      <c r="D418" s="7">
        <v>780</v>
      </c>
      <c r="E418" s="7">
        <v>261</v>
      </c>
      <c r="F418" s="7">
        <v>1701</v>
      </c>
      <c r="G418" s="7">
        <v>149734.56</v>
      </c>
      <c r="H418" s="7">
        <v>134461.03</v>
      </c>
      <c r="I418" s="7">
        <v>15273.73</v>
      </c>
      <c r="J418" s="7">
        <v>12411.96</v>
      </c>
      <c r="K418" s="7">
        <v>434</v>
      </c>
      <c r="L418" s="7">
        <v>573.70000000000005</v>
      </c>
      <c r="M418" s="7">
        <v>515.17999999999995</v>
      </c>
      <c r="N418" s="7">
        <v>9.2308976065407194E-2</v>
      </c>
      <c r="O418" s="7">
        <v>0.55641025641025643</v>
      </c>
    </row>
    <row r="419" spans="1:15">
      <c r="A419" s="7" t="s">
        <v>86</v>
      </c>
      <c r="B419" s="7" t="s">
        <v>79</v>
      </c>
      <c r="C419" s="7" t="s">
        <v>54</v>
      </c>
      <c r="D419" s="7">
        <v>38</v>
      </c>
      <c r="E419" s="7">
        <v>14</v>
      </c>
      <c r="F419" s="7">
        <v>88</v>
      </c>
      <c r="G419" s="7">
        <v>6627.09</v>
      </c>
      <c r="H419" s="7">
        <v>6069.25</v>
      </c>
      <c r="I419" s="7">
        <v>557.84</v>
      </c>
      <c r="J419" s="7">
        <v>1415.16</v>
      </c>
      <c r="K419" s="7">
        <v>25</v>
      </c>
      <c r="L419" s="7">
        <v>473.36</v>
      </c>
      <c r="M419" s="7">
        <v>433.52</v>
      </c>
      <c r="N419" s="7">
        <v>0.23316884293776002</v>
      </c>
      <c r="O419" s="7">
        <v>0.65789473684210531</v>
      </c>
    </row>
    <row r="420" spans="1:15">
      <c r="A420" s="7" t="s">
        <v>86</v>
      </c>
      <c r="B420" s="7" t="s">
        <v>79</v>
      </c>
      <c r="C420" s="7" t="s">
        <v>55</v>
      </c>
      <c r="D420" s="7">
        <v>16</v>
      </c>
      <c r="E420" s="7">
        <v>6</v>
      </c>
      <c r="F420" s="7">
        <v>44</v>
      </c>
      <c r="G420" s="7">
        <v>3543.35</v>
      </c>
      <c r="H420" s="7">
        <v>3011.79</v>
      </c>
      <c r="I420" s="7">
        <v>531.55999999999995</v>
      </c>
      <c r="J420" s="7">
        <v>339.45</v>
      </c>
      <c r="K420" s="7">
        <v>4</v>
      </c>
      <c r="L420" s="7">
        <v>590.55999999999995</v>
      </c>
      <c r="M420" s="7">
        <v>501.96</v>
      </c>
      <c r="N420" s="7">
        <v>0.11270706124929031</v>
      </c>
      <c r="O420" s="7">
        <v>0.25</v>
      </c>
    </row>
    <row r="421" spans="1:15">
      <c r="A421" s="7" t="s">
        <v>86</v>
      </c>
      <c r="B421" s="7" t="s">
        <v>79</v>
      </c>
      <c r="C421" s="7" t="s">
        <v>56</v>
      </c>
      <c r="D421" s="7">
        <v>73</v>
      </c>
      <c r="E421" s="7">
        <v>22</v>
      </c>
      <c r="F421" s="7">
        <v>152</v>
      </c>
      <c r="G421" s="7">
        <v>16136.35</v>
      </c>
      <c r="H421" s="7">
        <v>14799.22</v>
      </c>
      <c r="I421" s="7">
        <v>1337.14</v>
      </c>
      <c r="J421" s="7">
        <v>1752.45</v>
      </c>
      <c r="K421" s="7">
        <v>37</v>
      </c>
      <c r="L421" s="7">
        <v>733.47</v>
      </c>
      <c r="M421" s="7">
        <v>672.69</v>
      </c>
      <c r="N421" s="7">
        <v>0.11841502457561952</v>
      </c>
      <c r="O421" s="7">
        <v>0.50684931506849318</v>
      </c>
    </row>
    <row r="422" spans="1:15">
      <c r="A422" s="7" t="s">
        <v>86</v>
      </c>
      <c r="B422" s="7" t="s">
        <v>79</v>
      </c>
      <c r="C422" s="7" t="s">
        <v>57</v>
      </c>
      <c r="D422" s="7">
        <v>47</v>
      </c>
      <c r="E422" s="7">
        <v>15</v>
      </c>
      <c r="F422" s="7">
        <v>88</v>
      </c>
      <c r="G422" s="7">
        <v>9006.8700000000008</v>
      </c>
      <c r="H422" s="7">
        <v>8186.35</v>
      </c>
      <c r="I422" s="7">
        <v>820.52</v>
      </c>
      <c r="J422" s="7">
        <v>1846.92</v>
      </c>
      <c r="K422" s="7">
        <v>27</v>
      </c>
      <c r="L422" s="7">
        <v>600.46</v>
      </c>
      <c r="M422" s="7">
        <v>545.76</v>
      </c>
      <c r="N422" s="7">
        <v>0.22560970395841859</v>
      </c>
      <c r="O422" s="7">
        <v>0.57446808510638303</v>
      </c>
    </row>
    <row r="423" spans="1:15">
      <c r="A423" s="7" t="s">
        <v>86</v>
      </c>
      <c r="B423" s="7" t="s">
        <v>79</v>
      </c>
      <c r="C423" s="7" t="s">
        <v>58</v>
      </c>
      <c r="D423" s="7">
        <v>14</v>
      </c>
      <c r="E423" s="7">
        <v>6</v>
      </c>
      <c r="F423" s="7">
        <v>21</v>
      </c>
      <c r="G423" s="7">
        <v>2619.7399999999998</v>
      </c>
      <c r="H423" s="7">
        <v>2223.16</v>
      </c>
      <c r="I423" s="7">
        <v>396.6</v>
      </c>
      <c r="J423" s="7">
        <v>685.27</v>
      </c>
      <c r="K423" s="7">
        <v>4</v>
      </c>
      <c r="L423" s="7">
        <v>436.62</v>
      </c>
      <c r="M423" s="7">
        <v>370.53</v>
      </c>
      <c r="N423" s="7">
        <v>0.30824142211986544</v>
      </c>
      <c r="O423" s="7">
        <v>0.2857142857142857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57"/>
  <sheetViews>
    <sheetView showGridLines="0" workbookViewId="0">
      <pane ySplit="5" topLeftCell="A10" activePane="bottomLeft" state="frozen"/>
      <selection pane="bottomLeft" activeCell="A3" sqref="A3"/>
    </sheetView>
  </sheetViews>
  <sheetFormatPr defaultRowHeight="13.8"/>
  <cols>
    <col min="1" max="1" width="34" customWidth="1"/>
    <col min="2" max="2" width="90" customWidth="1"/>
  </cols>
  <sheetData>
    <row r="2" spans="1:14" ht="21">
      <c r="A2" s="12" t="s">
        <v>264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3" t="s">
        <v>265</v>
      </c>
    </row>
    <row r="5" spans="1:14">
      <c r="A5" s="3" t="s">
        <v>266</v>
      </c>
      <c r="B5" s="5" t="s">
        <v>267</v>
      </c>
    </row>
    <row r="6" spans="1:14">
      <c r="A6" s="34" t="s">
        <v>268</v>
      </c>
      <c r="B6" s="34" t="s">
        <v>269</v>
      </c>
    </row>
    <row r="7" spans="1:14">
      <c r="A7" s="35" t="s">
        <v>270</v>
      </c>
      <c r="B7" s="35" t="s">
        <v>271</v>
      </c>
    </row>
    <row r="8" spans="1:14">
      <c r="A8" s="35" t="s">
        <v>272</v>
      </c>
      <c r="B8" s="35" t="s">
        <v>273</v>
      </c>
    </row>
    <row r="9" spans="1:14">
      <c r="A9" s="35" t="s">
        <v>274</v>
      </c>
      <c r="B9" s="35" t="s">
        <v>275</v>
      </c>
    </row>
    <row r="10" spans="1:14">
      <c r="A10" s="35" t="s">
        <v>276</v>
      </c>
      <c r="B10" s="35" t="s">
        <v>277</v>
      </c>
    </row>
    <row r="11" spans="1:14">
      <c r="A11" s="35" t="s">
        <v>261</v>
      </c>
      <c r="B11" s="35" t="s">
        <v>278</v>
      </c>
    </row>
    <row r="12" spans="1:14">
      <c r="A12" s="35" t="s">
        <v>279</v>
      </c>
      <c r="B12" s="35" t="s">
        <v>280</v>
      </c>
    </row>
    <row r="13" spans="1:14">
      <c r="A13" s="35" t="s">
        <v>281</v>
      </c>
      <c r="B13" s="35" t="s">
        <v>282</v>
      </c>
    </row>
    <row r="14" spans="1:14">
      <c r="A14" s="35" t="s">
        <v>283</v>
      </c>
      <c r="B14" s="35" t="s">
        <v>284</v>
      </c>
    </row>
    <row r="15" spans="1:14">
      <c r="A15" s="35" t="s">
        <v>285</v>
      </c>
      <c r="B15" s="35" t="s">
        <v>286</v>
      </c>
    </row>
    <row r="16" spans="1:14">
      <c r="A16" s="35" t="s">
        <v>287</v>
      </c>
      <c r="B16" s="35" t="s">
        <v>288</v>
      </c>
    </row>
    <row r="17" spans="1:2">
      <c r="A17" s="35" t="s">
        <v>289</v>
      </c>
      <c r="B17" s="35" t="s">
        <v>290</v>
      </c>
    </row>
    <row r="18" spans="1:2">
      <c r="A18" s="35" t="s">
        <v>291</v>
      </c>
      <c r="B18" s="35" t="s">
        <v>292</v>
      </c>
    </row>
    <row r="19" spans="1:2">
      <c r="A19" s="35" t="s">
        <v>293</v>
      </c>
      <c r="B19" s="35" t="s">
        <v>294</v>
      </c>
    </row>
    <row r="20" spans="1:2">
      <c r="A20" s="35" t="s">
        <v>295</v>
      </c>
      <c r="B20" s="35" t="s">
        <v>296</v>
      </c>
    </row>
    <row r="21" spans="1:2">
      <c r="A21" s="35" t="s">
        <v>297</v>
      </c>
      <c r="B21" s="35" t="s">
        <v>298</v>
      </c>
    </row>
    <row r="22" spans="1:2">
      <c r="A22" s="35" t="s">
        <v>299</v>
      </c>
      <c r="B22" s="35" t="s">
        <v>300</v>
      </c>
    </row>
    <row r="23" spans="1:2">
      <c r="A23" s="35" t="s">
        <v>301</v>
      </c>
      <c r="B23" s="35" t="s">
        <v>302</v>
      </c>
    </row>
    <row r="24" spans="1:2">
      <c r="A24" s="35" t="s">
        <v>303</v>
      </c>
      <c r="B24" s="35" t="s">
        <v>304</v>
      </c>
    </row>
    <row r="25" spans="1:2">
      <c r="A25" s="35" t="s">
        <v>305</v>
      </c>
      <c r="B25" s="35" t="s">
        <v>306</v>
      </c>
    </row>
    <row r="26" spans="1:2">
      <c r="A26" s="35" t="s">
        <v>307</v>
      </c>
      <c r="B26" s="35" t="s">
        <v>308</v>
      </c>
    </row>
    <row r="27" spans="1:2">
      <c r="A27" s="35" t="s">
        <v>309</v>
      </c>
      <c r="B27" s="35" t="s">
        <v>310</v>
      </c>
    </row>
    <row r="28" spans="1:2">
      <c r="A28" s="35" t="s">
        <v>311</v>
      </c>
      <c r="B28" s="35" t="s">
        <v>312</v>
      </c>
    </row>
    <row r="29" spans="1:2">
      <c r="A29" s="35" t="s">
        <v>313</v>
      </c>
      <c r="B29" s="35" t="s">
        <v>314</v>
      </c>
    </row>
    <row r="30" spans="1:2">
      <c r="A30" s="35" t="s">
        <v>1</v>
      </c>
      <c r="B30" s="35" t="s">
        <v>315</v>
      </c>
    </row>
    <row r="31" spans="1:2">
      <c r="A31" s="35" t="s">
        <v>316</v>
      </c>
      <c r="B31" s="35" t="s">
        <v>317</v>
      </c>
    </row>
    <row r="32" spans="1:2">
      <c r="A32" s="35" t="s">
        <v>318</v>
      </c>
      <c r="B32" s="35" t="s">
        <v>319</v>
      </c>
    </row>
    <row r="33" spans="1:2">
      <c r="A33" s="35" t="s">
        <v>320</v>
      </c>
      <c r="B33" s="35" t="s">
        <v>321</v>
      </c>
    </row>
    <row r="34" spans="1:2">
      <c r="A34" s="35" t="s">
        <v>322</v>
      </c>
      <c r="B34" s="35" t="s">
        <v>323</v>
      </c>
    </row>
    <row r="35" spans="1:2">
      <c r="A35" s="35" t="s">
        <v>324</v>
      </c>
      <c r="B35" s="35" t="s">
        <v>325</v>
      </c>
    </row>
    <row r="36" spans="1:2">
      <c r="A36" s="35" t="s">
        <v>326</v>
      </c>
      <c r="B36" s="35" t="s">
        <v>327</v>
      </c>
    </row>
    <row r="37" spans="1:2">
      <c r="A37" s="35" t="s">
        <v>328</v>
      </c>
      <c r="B37" s="35" t="s">
        <v>329</v>
      </c>
    </row>
    <row r="38" spans="1:2">
      <c r="A38" s="35" t="s">
        <v>330</v>
      </c>
      <c r="B38" s="35" t="s">
        <v>331</v>
      </c>
    </row>
    <row r="39" spans="1:2">
      <c r="A39" s="35" t="s">
        <v>332</v>
      </c>
      <c r="B39" s="35" t="s">
        <v>333</v>
      </c>
    </row>
    <row r="40" spans="1:2">
      <c r="A40" s="35" t="s">
        <v>334</v>
      </c>
      <c r="B40" s="35" t="s">
        <v>335</v>
      </c>
    </row>
    <row r="41" spans="1:2">
      <c r="A41" s="35" t="s">
        <v>336</v>
      </c>
      <c r="B41" s="35" t="s">
        <v>337</v>
      </c>
    </row>
    <row r="42" spans="1:2">
      <c r="A42" s="35" t="s">
        <v>338</v>
      </c>
      <c r="B42" s="35" t="s">
        <v>339</v>
      </c>
    </row>
    <row r="43" spans="1:2">
      <c r="A43" s="35" t="s">
        <v>340</v>
      </c>
      <c r="B43" s="35" t="s">
        <v>341</v>
      </c>
    </row>
    <row r="44" spans="1:2">
      <c r="A44" s="35" t="s">
        <v>342</v>
      </c>
      <c r="B44" s="35" t="s">
        <v>343</v>
      </c>
    </row>
    <row r="45" spans="1:2">
      <c r="A45" s="35" t="s">
        <v>344</v>
      </c>
      <c r="B45" s="35" t="s">
        <v>345</v>
      </c>
    </row>
    <row r="46" spans="1:2" ht="52.8">
      <c r="A46" s="35" t="s">
        <v>346</v>
      </c>
      <c r="B46" s="35" t="s">
        <v>347</v>
      </c>
    </row>
    <row r="47" spans="1:2">
      <c r="A47" s="35" t="s">
        <v>348</v>
      </c>
      <c r="B47" s="35" t="s">
        <v>349</v>
      </c>
    </row>
    <row r="48" spans="1:2" ht="26.4">
      <c r="A48" s="35" t="s">
        <v>350</v>
      </c>
      <c r="B48" s="35" t="s">
        <v>351</v>
      </c>
    </row>
    <row r="49" spans="1:2">
      <c r="A49" s="35" t="s">
        <v>352</v>
      </c>
      <c r="B49" s="35" t="s">
        <v>353</v>
      </c>
    </row>
    <row r="50" spans="1:2">
      <c r="A50" s="35" t="s">
        <v>354</v>
      </c>
      <c r="B50" s="35" t="s">
        <v>282</v>
      </c>
    </row>
    <row r="51" spans="1:2">
      <c r="A51" s="35" t="s">
        <v>355</v>
      </c>
      <c r="B51" s="35" t="s">
        <v>356</v>
      </c>
    </row>
    <row r="52" spans="1:2">
      <c r="A52" s="35" t="s">
        <v>357</v>
      </c>
      <c r="B52" s="35" t="s">
        <v>358</v>
      </c>
    </row>
    <row r="53" spans="1:2">
      <c r="A53" s="35" t="s">
        <v>359</v>
      </c>
      <c r="B53" s="35" t="s">
        <v>360</v>
      </c>
    </row>
    <row r="54" spans="1:2">
      <c r="A54" s="35" t="s">
        <v>361</v>
      </c>
      <c r="B54" s="35" t="s">
        <v>362</v>
      </c>
    </row>
    <row r="55" spans="1:2">
      <c r="A55" s="35" t="s">
        <v>363</v>
      </c>
      <c r="B55" s="35" t="s">
        <v>364</v>
      </c>
    </row>
    <row r="56" spans="1:2">
      <c r="A56" s="35" t="s">
        <v>365</v>
      </c>
      <c r="B56" s="35" t="s">
        <v>366</v>
      </c>
    </row>
    <row r="57" spans="1:2">
      <c r="A57" s="35" t="s">
        <v>259</v>
      </c>
      <c r="B57" s="35" t="s">
        <v>367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Monthly Trends</vt:lpstr>
      <vt:lpstr>Customer &amp; Region</vt:lpstr>
      <vt:lpstr>Shipping</vt:lpstr>
      <vt:lpstr>Products</vt:lpstr>
      <vt:lpstr>Metrics Validation</vt:lpstr>
      <vt:lpstr>Data Quality</vt:lpstr>
      <vt:lpstr>Dashboard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Raghav Heda</cp:lastModifiedBy>
  <dcterms:modified xsi:type="dcterms:W3CDTF">2026-09-28T16:57:46Z</dcterms:modified>
</cp:coreProperties>
</file>