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6.xml" ContentType="application/vnd.openxmlformats-officedocument.spreadsheetml.worksheet+xml"/>
  <Override PartName="/xl/tables/table11.xml" ContentType="application/vnd.openxmlformats-officedocument.spreadsheetml.table+xml"/>
  <Override PartName="/xl/worksheets/sheet7.xml" ContentType="application/vnd.openxmlformats-officedocument.spreadsheetml.worksheet+xml"/>
  <Override PartName="/xl/tables/table12.xml" ContentType="application/vnd.openxmlformats-officedocument.spreadsheetml.table+xml"/>
  <Override PartName="/xl/worksheets/sheet8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worksheets/sheet10.xml" ContentType="application/vnd.openxmlformats-officedocument.spreadsheetml.worksheet+xml"/>
  <Override PartName="/xl/tables/table1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0c072f4dca4a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bf405c7948e49cc"/>
    <x:sheet xmlns:r="http://schemas.openxmlformats.org/officeDocument/2006/relationships" name="Monthly Trends" sheetId="2" r:id="R3a5167339dba4eef"/>
    <x:sheet xmlns:r="http://schemas.openxmlformats.org/officeDocument/2006/relationships" name="Customer &amp; Region" sheetId="3" r:id="Rfae5831e7a8c44c6"/>
    <x:sheet xmlns:r="http://schemas.openxmlformats.org/officeDocument/2006/relationships" name="Shipping" sheetId="4" r:id="R0b8e1f0862fc49b6"/>
    <x:sheet xmlns:r="http://schemas.openxmlformats.org/officeDocument/2006/relationships" name="Products" sheetId="5" r:id="R1a4b1ff4f2ec4757"/>
    <x:sheet xmlns:r="http://schemas.openxmlformats.org/officeDocument/2006/relationships" name="Metrics Validation" sheetId="6" r:id="R3025ffa459844276"/>
    <x:sheet xmlns:r="http://schemas.openxmlformats.org/officeDocument/2006/relationships" name="Data Quality" sheetId="7" r:id="R0a812ee04e68495c"/>
    <x:sheet xmlns:r="http://schemas.openxmlformats.org/officeDocument/2006/relationships" name="Dashboard Data" sheetId="8" r:id="R866f728b28bf4bfa"/>
    <x:sheet xmlns:r="http://schemas.openxmlformats.org/officeDocument/2006/relationships" name="Data Dictionary" sheetId="9" r:id="R33dd1617b683434b"/>
    <x:sheet xmlns:r="http://schemas.openxmlformats.org/officeDocument/2006/relationships" name="ReadMe" sheetId="10" r:id="R6fd7953f725a48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"/>
    <x:numFmt numFmtId="201" formatCode="$#,##0.00"/>
    <x:numFmt numFmtId="202" formatCode="0.00%"/>
    <x:numFmt numFmtId="203" formatCode="#,##0"/>
    <x:numFmt numFmtId="204" formatCode="$0.00,,&quot;M&quot;"/>
    <x:numFmt numFmtId="205" formatCode="$#,##0.00,,&quot;M&quot;"/>
  </x:numFmts>
  <x:fonts count="11">
    <x:font>
      <x:sz val="11"/>
      <x:name val="Carlito"/>
    </x:font>
    <x:font>
      <x:b/>
      <x:sz val="14"/>
      <x:color rgb="FF17324D"/>
      <x:name val="Arial"/>
    </x:font>
    <x:font>
      <x:sz val="10"/>
      <x:color rgb="FF202B33"/>
      <x:name val="Arial"/>
    </x:font>
    <x:font>
      <x:b/>
      <x:sz val="10"/>
      <x:color rgb="FFFFFFFF"/>
      <x:name val="Arial"/>
    </x:font>
    <x:font>
      <x:b/>
      <x:sz val="16"/>
      <x:color rgb="FF17324D"/>
      <x:name val="Arial"/>
    </x:font>
    <x:font>
      <x:i/>
      <x:sz val="10"/>
      <x:color rgb="FF65727E"/>
      <x:name val="Arial"/>
    </x:font>
    <x:font>
      <x:b/>
      <x:sz val="10"/>
      <x:color rgb="FF17324D"/>
      <x:name val="Arial"/>
    </x:font>
    <x:font>
      <x:i/>
      <x:sz val="9"/>
      <x:color rgb="FF65727E"/>
      <x:name val="Arial"/>
    </x:font>
    <x:font>
      <x:sz val="11"/>
      <x:color rgb="FF202B33"/>
      <x:name val="Arial"/>
    </x:font>
    <x:font>
      <x:b/>
      <x:sz val="10"/>
      <x:color rgb="FF65727E"/>
      <x:name val="Arial"/>
    </x:font>
    <x:font>
      <x:b/>
      <x:sz val="11"/>
      <x:color rgb="FF17324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5D6"/>
      </x:patternFill>
    </x:fill>
    <x:fill>
      <x:patternFill patternType="solid">
        <x:fgColor rgb="FFF5F7F9"/>
      </x:patternFill>
    </x:fill>
    <x:fill>
      <x:patternFill patternType="solid">
        <x:fgColor rgb="FFEAF0FF"/>
      </x:patternFill>
    </x:fill>
  </x:fills>
  <x:borders count="14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E1E8"/>
      </x:bottom>
    </x:border>
    <x:border>
      <x:top style="thin">
        <x:color rgb="FFD9E1E8"/>
      </x:top>
      <x:bottom style="thin">
        <x:color rgb="FFD9E1E8"/>
      </x:bottom>
    </x:border>
    <x:border>
      <x:bottom style="medium">
        <x:color rgb="FF2F6BFF"/>
      </x:bottom>
    </x:border>
    <x:border>
      <x:left style="thin">
        <x:color rgb="FFD9E1E8"/>
      </x:left>
      <x:top style="thin">
        <x:color rgb="FFD9E1E8"/>
      </x:top>
    </x:border>
    <x:border>
      <x:right style="thin">
        <x:color rgb="FFD9E1E8"/>
      </x:right>
      <x:top style="thin">
        <x:color rgb="FFD9E1E8"/>
      </x:top>
    </x:border>
    <x:border>
      <x:left style="thin">
        <x:color rgb="FFD9E1E8"/>
      </x:left>
    </x:border>
    <x:border>
      <x:right style="thin">
        <x:color rgb="FFD9E1E8"/>
      </x:right>
    </x:border>
    <x:border>
      <x:left style="thin">
        <x:color rgb="FFD9E1E8"/>
      </x:left>
      <x:bottom style="thin">
        <x:color rgb="FFD9E1E8"/>
      </x:bottom>
    </x:border>
    <x:border>
      <x:right style="thin">
        <x:color rgb="FFD9E1E8"/>
      </x:right>
      <x:bottom style="thin">
        <x:color rgb="FFD9E1E8"/>
      </x:bottom>
    </x:border>
    <x:border>
      <x:bottom style="thin">
        <x:color rgb="FF2F6BFF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4" fillId="0" borderId="6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0" fontId="8" fillId="4" borderId="10" xfId="0" applyNumberFormat="1" applyFont="1" applyFill="1" applyBorder="1"/>
    <x:xf numFmtId="0" fontId="8" fillId="4" borderId="11" xfId="0" applyNumberFormat="1" applyFont="1" applyFill="1" applyBorder="1"/>
    <x:xf numFmtId="0" fontId="8" fillId="4" borderId="12" xfId="0" applyNumberFormat="1" applyFont="1" applyFill="1" applyBorder="1"/>
    <x:xf numFmtId="0" fontId="9" fillId="4" borderId="7" xfId="0" applyNumberFormat="1" applyFont="1" applyFill="1" applyBorder="1"/>
    <x:xf numFmtId="0" fontId="1" fillId="4" borderId="9" xfId="0" applyNumberFormat="1" applyFont="1" applyFill="1" applyBorder="1"/>
    <x:xf numFmtId="203" fontId="1" fillId="4" borderId="9" xfId="0" applyNumberFormat="1" applyFont="1" applyFill="1" applyBorder="1"/>
    <x:xf numFmtId="204" fontId="1" fillId="4" borderId="9" xfId="0" applyNumberFormat="1" applyFont="1" applyFill="1" applyBorder="1"/>
    <x:xf numFmtId="205" fontId="1" fillId="4" borderId="9" xfId="0" applyNumberFormat="1" applyFont="1" applyFill="1" applyBorder="1"/>
    <x:xf numFmtId="201" fontId="1" fillId="4" borderId="9" xfId="0" applyNumberFormat="1" applyFont="1" applyFill="1" applyBorder="1"/>
    <x:xf numFmtId="202" fontId="1" fillId="4" borderId="9" xfId="0" applyNumberFormat="1" applyFont="1" applyFill="1" applyBorder="1"/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13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1" fontId="2" fillId="0" borderId="4" xfId="0" applyNumberFormat="1" applyFont="1" applyFill="1" applyBorder="1" applyAlignment="1">
      <x:alignment vertical="center"/>
    </x:xf>
    <x:xf numFmtId="201" fontId="2" fillId="0" borderId="5" xfId="0" applyNumberFormat="1" applyFont="1" applyFill="1" applyBorder="1" applyAlignment="1">
      <x:alignment vertical="center"/>
    </x:xf>
    <x:xf numFmtId="202" fontId="2" fillId="0" borderId="4" xfId="0" applyNumberFormat="1" applyFont="1" applyFill="1" applyBorder="1" applyAlignment="1">
      <x:alignment vertical="center"/>
    </x:xf>
    <x:xf numFmtId="202" fontId="2" fillId="0" borderId="5" xfId="0" applyNumberFormat="1" applyFont="1" applyFill="1" applyBorder="1" applyAlignment="1">
      <x:alignment vertical="center"/>
    </x:xf>
    <x:xf numFmtId="200" fontId="2" fillId="0" borderId="4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203" fontId="2" fillId="0" borderId="4" xfId="0" applyNumberFormat="1" applyFont="1" applyFill="1" applyBorder="1" applyAlignment="1">
      <x:alignment vertical="center" wrapText="1"/>
    </x:xf>
    <x:xf numFmtId="203" fontId="2" fillId="0" borderId="5" xfId="0" applyNumberFormat="1" applyFont="1" applyFill="1" applyBorder="1" applyAlignment="1">
      <x:alignment vertical="center" wrapText="1"/>
    </x:xf>
    <x:xf numFmtId="201" fontId="2" fillId="0" borderId="5" xfId="0" applyNumberFormat="1" applyFont="1" applyFill="1" applyBorder="1" applyAlignment="1">
      <x:alignment vertical="center" wrapText="1"/>
    </x:xf>
    <x:xf numFmtId="202" fontId="2" fillId="0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A85D00"/>
      </x:font>
      <x:fill>
        <x:patternFill patternType="solid">
          <x:bgColor rgb="FFFFF0DB"/>
        </x:patternFill>
      </x:fill>
    </x:dxf>
    <x:dxf>
      <x:font>
        <x:b/>
        <x:color rgb="FFA85D00"/>
      </x:font>
      <x:fill>
        <x:patternFill patternType="solid">
          <x:bgColor rgb="FFFFF0D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12e02ae89e4c1b" /><Relationship Type="http://schemas.openxmlformats.org/officeDocument/2006/relationships/theme" Target="/xl/theme/theme1.xml" Id="R7529892166514f88" /><Relationship Type="http://schemas.openxmlformats.org/officeDocument/2006/relationships/sharedStrings" Target="/xl/sharedStrings.xml" Id="R54d8e3ca1b1b4894" /><Relationship Type="http://schemas.openxmlformats.org/officeDocument/2006/relationships/worksheet" Target="/xl/worksheets/sheet1.xml" Id="R4bf405c7948e49cc" /><Relationship Type="http://schemas.openxmlformats.org/officeDocument/2006/relationships/worksheet" Target="/xl/worksheets/sheet2.xml" Id="R3a5167339dba4eef" /><Relationship Type="http://schemas.openxmlformats.org/officeDocument/2006/relationships/worksheet" Target="/xl/worksheets/sheet3.xml" Id="Rfae5831e7a8c44c6" /><Relationship Type="http://schemas.openxmlformats.org/officeDocument/2006/relationships/worksheet" Target="/xl/worksheets/sheet4.xml" Id="R0b8e1f0862fc49b6" /><Relationship Type="http://schemas.openxmlformats.org/officeDocument/2006/relationships/worksheet" Target="/xl/worksheets/sheet5.xml" Id="R1a4b1ff4f2ec4757" /><Relationship Type="http://schemas.openxmlformats.org/officeDocument/2006/relationships/worksheet" Target="/xl/worksheets/sheet6.xml" Id="R3025ffa459844276" /><Relationship Type="http://schemas.openxmlformats.org/officeDocument/2006/relationships/worksheet" Target="/xl/worksheets/sheet7.xml" Id="R0a812ee04e68495c" /><Relationship Type="http://schemas.openxmlformats.org/officeDocument/2006/relationships/worksheet" Target="/xl/worksheets/sheet8.xml" Id="R866f728b28bf4bfa" /><Relationship Type="http://schemas.openxmlformats.org/officeDocument/2006/relationships/worksheet" Target="/xl/worksheets/sheet9.xml" Id="R33dd1617b683434b" /><Relationship Type="http://schemas.openxmlformats.org/officeDocument/2006/relationships/worksheet" Target="/xl/worksheets/sheet10.xml" Id="R6fd7953f725a48e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bae6ce7072488a" /><Relationship Type="http://schemas.openxmlformats.org/officeDocument/2006/relationships/chart" Target="/xl/drawings/charts/chart2.xml" Id="Rc2a76deb342e448d" /><Relationship Type="http://schemas.openxmlformats.org/officeDocument/2006/relationships/chart" Target="/xl/drawings/charts/chart3.xml" Id="R73669cdb4fcf41ac" /><Relationship Type="http://schemas.openxmlformats.org/officeDocument/2006/relationships/chart" Target="/xl/drawings/charts/chart4.xml" Id="Rbbf840cb31b5408f" /><Relationship Type="http://schemas.openxmlformats.org/officeDocument/2006/relationships/chart" Target="/xl/drawings/charts/chart5.xml" Id="R6b98e3d6c3c0465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Gross Sales ($M, Selected Filters)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Gross Sales ($M)</c:v>
          </c:tx>
          <c:marker>
            <c:symbol val="none"/>
          </c:marker>
          <c:cat>
            <c:strRef>
              <c:f>'Dashboard Data'!$Q$2:$Q$38</c:f>
              <c:strCache>
                <c:ptCount val="0"/>
              </c:strCache>
            </c:strRef>
          </c:cat>
          <c:val>
            <c:numRef>
              <c:f>'Dashboard Data'!$R$2:$R$38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Gross Sales by Market ($M, Overall)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Gross Sales ($M)</c:v>
          </c:tx>
          <c:cat>
            <c:strRef>
              <c:f>'Dashboard Data'!$X$2:$X$6</c:f>
              <c:strCache>
                <c:ptCount val="0"/>
              </c:strCache>
            </c:strRef>
          </c:cat>
          <c:val>
            <c:numRef>
              <c:f>'Dashboard Data'!$Y$2:$Y$6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Late Delivery Rate by Shipping Mode (Orders)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Late Delivery %</c:v>
          </c:tx>
          <c:cat>
            <c:strRef>
              <c:f>'Dashboard Data'!$AD$2:$AD$5</c:f>
              <c:strCache>
                <c:ptCount val="0"/>
              </c:strCache>
            </c:strRef>
          </c:cat>
          <c:val>
            <c:numRef>
              <c:f>'Dashboard Data'!$AE$2:$AE$5</c:f>
              <c:numCache>
                <c:formatCode>0.00%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Gross Sales by Customer Segment ($M, Overall)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Gross Sales ($M)</c:v>
          </c:tx>
          <c:cat>
            <c:strRef>
              <c:f>'Dashboard Data'!$AA$2:$AA$4</c:f>
              <c:strCache>
                <c:ptCount val="0"/>
              </c:strCache>
            </c:strRef>
          </c:cat>
          <c:val>
            <c:numRef>
              <c:f>'Dashboard Data'!$AB$2:$AB$4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Top Categories by Gross Sales ($M, Overall)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Gross Sales ($M)</c:v>
          </c:tx>
          <c:cat>
            <c:strRef>
              <c:f>'Dashboard Data'!$AG$2:$AG$9</c:f>
              <c:strCache>
                <c:ptCount val="0"/>
              </c:strCache>
            </c:strRef>
          </c:cat>
          <c:val>
            <c:numRef>
              <c:f>'Dashboard Data'!$AH$2:$AH$9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10</xdr:row>
      <xdr:rowOff>0</xdr:rowOff>
    </xdr:from>
    <xdr:to>
      <xdr:col>14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bae6ce7072488a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7</xdr:col>
      <xdr:colOff>0</xdr:colOff>
      <xdr:row>44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a76deb342e448d"/>
        </a:graphicData>
      </a:graphic>
    </xdr:graphicFrame>
    <xdr:clientData/>
  </xdr:twoCellAnchor>
  <xdr:twoCellAnchor>
    <xdr:from>
      <xdr:col>7</xdr:col>
      <xdr:colOff>0</xdr:colOff>
      <xdr:row>28</xdr:row>
      <xdr:rowOff>0</xdr:rowOff>
    </xdr:from>
    <xdr:to>
      <xdr:col>14</xdr:col>
      <xdr:colOff>0</xdr:colOff>
      <xdr:row>44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669cdb4fcf41ac"/>
        </a:graphicData>
      </a:graphic>
    </xdr:graphicFrame>
    <xdr:clientData/>
  </xdr:twoCellAnchor>
  <xdr:twoCellAnchor>
    <xdr:from>
      <xdr:col>0</xdr:col>
      <xdr:colOff>0</xdr:colOff>
      <xdr:row>45</xdr:row>
      <xdr:rowOff>0</xdr:rowOff>
    </xdr:from>
    <xdr:to>
      <xdr:col>7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f840cb31b5408f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98e3d6c3c0465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3" name="MonthlyPerformance" displayName="MonthlyPerformance" ref="A5:L42" headerRowCount="1" totalsRowCount="0" totalsRowShown="0">
  <x:tableColumns count="12">
    <x:tableColumn id="1" name="order_year_month"/>
    <x:tableColumn id="2" name="records"/>
    <x:tableColumn id="3" name="orders"/>
    <x:tableColumn id="4" name="units"/>
    <x:tableColumn id="5" name="gross_sales"/>
    <x:tableColumn id="6" name="net_sales"/>
    <x:tableColumn id="7" name="profit"/>
    <x:tableColumn id="8" name="gross_aov"/>
    <x:tableColumn id="9" name="profit_margin_net"/>
    <x:tableColumn id="10" name="late_delivery_rate_row"/>
    <x:tableColumn id="11" name="gross_sales_yoy"/>
    <x:tableColumn id="12" name="profit_yo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YearlyPerformance" displayName="YearlyPerformance" ref="N6:V10" headerRowCount="1" totalsRowCount="0" totalsRowShown="0">
  <x:tableColumns count="9">
    <x:tableColumn id="1" name="order_year"/>
    <x:tableColumn id="2" name="orders"/>
    <x:tableColumn id="3" name="gross_sales"/>
    <x:tableColumn id="4" name="net_sales"/>
    <x:tableColumn id="5" name="profit"/>
    <x:tableColumn id="6" name="gross_aov"/>
    <x:tableColumn id="7" name="gross_sales_yoy"/>
    <x:tableColumn id="8" name="profit_yoy"/>
    <x:tableColumn id="9" name="period_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SegmentSummary" displayName="SegmentSummary" ref="A6:L9" headerRowCount="1" totalsRowCount="0" totalsRowShown="0">
  <x:tableColumns count="12">
    <x:tableColumn id="1" name="customer_segment"/>
    <x:tableColumn id="2" name="records"/>
    <x:tableColumn id="3" name="orders"/>
    <x:tableColumn id="4" name="units"/>
    <x:tableColumn id="5" name="gross_sales"/>
    <x:tableColumn id="6" name="net_sales"/>
    <x:tableColumn id="7" name="discount"/>
    <x:tableColumn id="8" name="profit"/>
    <x:tableColumn id="9" name="gross_aov"/>
    <x:tableColumn id="10" name="net_aov"/>
    <x:tableColumn id="11" name="profit_margin_net"/>
    <x:tableColumn id="12" name="late_delivery_rate_row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6" name="MarketSummary" displayName="MarketSummary" ref="A13:L18" headerRowCount="1" totalsRowCount="0" totalsRowShown="0">
  <x:tableColumns count="12">
    <x:tableColumn id="1" name="market"/>
    <x:tableColumn id="2" name="records"/>
    <x:tableColumn id="3" name="orders"/>
    <x:tableColumn id="4" name="units"/>
    <x:tableColumn id="5" name="gross_sales"/>
    <x:tableColumn id="6" name="net_sales"/>
    <x:tableColumn id="7" name="discount"/>
    <x:tableColumn id="8" name="profit"/>
    <x:tableColumn id="9" name="gross_aov"/>
    <x:tableColumn id="10" name="net_aov"/>
    <x:tableColumn id="11" name="profit_margin_net"/>
    <x:tableColumn id="12" name="late_delivery_rate_row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7" name="RegionSummary" displayName="RegionSummary" ref="A23:I46" headerRowCount="1" totalsRowCount="0" totalsRowShown="0">
  <x:tableColumns count="9">
    <x:tableColumn id="1" name="order_region"/>
    <x:tableColumn id="2" name="records"/>
    <x:tableColumn id="3" name="orders"/>
    <x:tableColumn id="4" name="gross_sales"/>
    <x:tableColumn id="5" name="net_sales"/>
    <x:tableColumn id="6" name="profit"/>
    <x:tableColumn id="7" name="gross_aov"/>
    <x:tableColumn id="8" name="profit_margin_net"/>
    <x:tableColumn id="9" name="late_delivery_rate_row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8" name="ShippingModeSummary" displayName="ShippingModeSummary" ref="A6:M10" headerRowCount="1" totalsRowCount="0" totalsRowShown="0">
  <x:tableColumns count="13">
    <x:tableColumn id="1" name="shipping_mode"/>
    <x:tableColumn id="2" name="orders"/>
    <x:tableColumn id="3" name="gross_sales"/>
    <x:tableColumn id="4" name="net_sales"/>
    <x:tableColumn id="5" name="profit"/>
    <x:tableColumn id="6" name="late_orders"/>
    <x:tableColumn id="7" name="avg_actual_shipping_days"/>
    <x:tableColumn id="8" name="avg_scheduled_shipping_days"/>
    <x:tableColumn id="9" name="avg_shipping_variance_days"/>
    <x:tableColumn id="10" name="late_delivery_rate_order"/>
    <x:tableColumn id="11" name="gross_aov"/>
    <x:tableColumn id="12" name="net_aov"/>
    <x:tableColumn id="13" name="profit_margin_ne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9" name="DeliveryStatusSummary" displayName="DeliveryStatusSummary" ref="A15:M19" headerRowCount="1" totalsRowCount="0" totalsRowShown="0">
  <x:tableColumns count="13">
    <x:tableColumn id="1" name="delivery_status"/>
    <x:tableColumn id="2" name="orders"/>
    <x:tableColumn id="3" name="gross_sales"/>
    <x:tableColumn id="4" name="net_sales"/>
    <x:tableColumn id="5" name="profit"/>
    <x:tableColumn id="6" name="late_orders"/>
    <x:tableColumn id="7" name="avg_actual_shipping_days"/>
    <x:tableColumn id="8" name="avg_scheduled_shipping_days"/>
    <x:tableColumn id="9" name="avg_shipping_variance_days"/>
    <x:tableColumn id="10" name="late_delivery_rate_order"/>
    <x:tableColumn id="11" name="gross_aov"/>
    <x:tableColumn id="12" name="net_aov"/>
    <x:tableColumn id="13" name="profit_margin_ne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0" name="TopProducts" displayName="TopProducts" ref="A6:K21" headerRowCount="1" totalsRowCount="0" totalsRowShown="0">
  <x:tableColumns count="11">
    <x:tableColumn id="1" name="product_id"/>
    <x:tableColumn id="2" name="product_name"/>
    <x:tableColumn id="3" name="category_name"/>
    <x:tableColumn id="4" name="records"/>
    <x:tableColumn id="5" name="orders"/>
    <x:tableColumn id="6" name="units"/>
    <x:tableColumn id="7" name="gross_sales"/>
    <x:tableColumn id="8" name="net_sales"/>
    <x:tableColumn id="9" name="profit"/>
    <x:tableColumn id="10" name="profit_margin_net"/>
    <x:tableColumn id="11" name="late_delivery_rate_row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1" name="BottomProducts" displayName="BottomProducts" ref="M6:W16" headerRowCount="1" totalsRowCount="0" totalsRowShown="0">
  <x:tableColumns count="11">
    <x:tableColumn id="1" name="product_id"/>
    <x:tableColumn id="2" name="product_name"/>
    <x:tableColumn id="3" name="category_name"/>
    <x:tableColumn id="4" name="records"/>
    <x:tableColumn id="5" name="orders"/>
    <x:tableColumn id="6" name="units"/>
    <x:tableColumn id="7" name="gross_sales"/>
    <x:tableColumn id="8" name="net_sales"/>
    <x:tableColumn id="9" name="profit"/>
    <x:tableColumn id="10" name="profit_margin_net"/>
    <x:tableColumn id="11" name="late_delivery_rate_row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2" name="TopCategories" displayName="TopCategories" ref="A26:K41" headerRowCount="1" totalsRowCount="0" totalsRowShown="0">
  <x:tableColumns count="11">
    <x:tableColumn id="1" name="category_name"/>
    <x:tableColumn id="2" name="records"/>
    <x:tableColumn id="3" name="orders"/>
    <x:tableColumn id="4" name="units"/>
    <x:tableColumn id="5" name="gross_sales"/>
    <x:tableColumn id="6" name="net_sales"/>
    <x:tableColumn id="7" name="discount"/>
    <x:tableColumn id="8" name="profit"/>
    <x:tableColumn id="9" name="gross_aov"/>
    <x:tableColumn id="10" name="profit_margin_net"/>
    <x:tableColumn id="11" name="late_delivery_rate_row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3" name="MetricsValidation" displayName="MetricsValidation" ref="A5:E11" headerRowCount="1" totalsRowCount="0" totalsRowShown="0">
  <x:tableColumns count="5">
    <x:tableColumn id="1" name="metric"/>
    <x:tableColumn id="2" name="resume_claim"/>
    <x:tableColumn id="3" name="calculated_value"/>
    <x:tableColumn id="4" name="definition"/>
    <x:tableColumn id="5" name="resul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4" name="DataQualityChecks" displayName="DataQualityChecks" ref="A5:E19" headerRowCount="1" totalsRowCount="0" totalsRowShown="0">
  <x:tableColumns count="5">
    <x:tableColumn id="1" name="check"/>
    <x:tableColumn id="2" name="expected"/>
    <x:tableColumn id="3" name="actual"/>
    <x:tableColumn id="4" name="status"/>
    <x:tableColumn id="5" name="interpretation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" name="KpiFilterCube" displayName="KpiFilterCube" ref="A3:N27" headerRowCount="1" totalsRowCount="0" totalsRowShown="0">
  <x:tableColumns count="14">
    <x:tableColumn id="1" name="market"/>
    <x:tableColumn id="2" name="customer_segment"/>
    <x:tableColumn id="3" name="records"/>
    <x:tableColumn id="4" name="orders"/>
    <x:tableColumn id="5" name="units"/>
    <x:tableColumn id="6" name="gross_sales"/>
    <x:tableColumn id="7" name="net_sales"/>
    <x:tableColumn id="8" name="discount"/>
    <x:tableColumn id="9" name="profit"/>
    <x:tableColumn id="10" name="late_records"/>
    <x:tableColumn id="11" name="gross_aov"/>
    <x:tableColumn id="12" name="net_aov"/>
    <x:tableColumn id="13" name="profit_margin_net"/>
    <x:tableColumn id="14" name="late_delivery_rate_row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2" name="MonthlyFilterCube" displayName="MonthlyFilterCube" ref="A31:O423" headerRowCount="1" totalsRowCount="0" totalsRowShown="0">
  <x:tableColumns count="15">
    <x:tableColumn id="1" name="market"/>
    <x:tableColumn id="2" name="customer_segment"/>
    <x:tableColumn id="3" name="order_year_month"/>
    <x:tableColumn id="4" name="records"/>
    <x:tableColumn id="5" name="orders"/>
    <x:tableColumn id="6" name="units"/>
    <x:tableColumn id="7" name="gross_sales"/>
    <x:tableColumn id="8" name="net_sales"/>
    <x:tableColumn id="9" name="discount"/>
    <x:tableColumn id="10" name="profit"/>
    <x:tableColumn id="11" name="late_records"/>
    <x:tableColumn id="12" name="gross_aov"/>
    <x:tableColumn id="13" name="net_aov"/>
    <x:tableColumn id="14" name="profit_margin_net"/>
    <x:tableColumn id="15" name="late_delivery_rate_row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SourceDataDictionary" displayName="SourceDataDictionary" ref="A5:B57" headerRowCount="1" totalsRowCount="0" totalsRowShown="0">
  <x:tableColumns count="2">
    <x:tableColumn id="1" name="FIELDS"/>
    <x:tableColumn id="2" name="DESCRIP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WorkbookGuide" displayName="WorkbookGuide" ref="A5:B17" headerRowCount="1" totalsRowCount="0" totalsRowShown="0">
  <x:tableColumns count="2">
    <x:tableColumn id="1" name="Topic"/>
    <x:tableColumn id="2" name="Defini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0a232b5be19407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dbb0a895f584868" /><Relationship Type="http://schemas.openxmlformats.org/officeDocument/2006/relationships/table" Target="/xl/tables/table2.xml" Id="R6e3776bee6704b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ae82bcc8ad845ac" /><Relationship Type="http://schemas.openxmlformats.org/officeDocument/2006/relationships/table" Target="/xl/tables/table4.xml" Id="R79d19e9ae0c34db6" /><Relationship Type="http://schemas.openxmlformats.org/officeDocument/2006/relationships/table" Target="/xl/tables/table5.xml" Id="Re93c49a8775f4e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6.xml" Id="R1ace5775a1a94e46" /><Relationship Type="http://schemas.openxmlformats.org/officeDocument/2006/relationships/table" Target="/xl/tables/table7.xml" Id="R412b2f505c9b4ac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8.xml" Id="Ra81131ca28a543fc" /><Relationship Type="http://schemas.openxmlformats.org/officeDocument/2006/relationships/table" Target="/xl/tables/table9.xml" Id="Rb5620875459740bb" /><Relationship Type="http://schemas.openxmlformats.org/officeDocument/2006/relationships/table" Target="/xl/tables/table10.xml" Id="Rf87d44ec41594ce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1.xml" Id="R0c5ef4773c3346b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2.xml" Id="R55d134fa15ae447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3.xml" Id="R08fd6544f7984bc5" /><Relationship Type="http://schemas.openxmlformats.org/officeDocument/2006/relationships/table" Target="/xl/tables/table14.xml" Id="R02689be1d333452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5.xml" Id="R7138fafc4d5d47c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6.xml" Id="R67f1f60b746a433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8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2">
      <x:c r="A2" s="21" t="str">
        <x:v>Supply Chain Analytics Dashboard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3">
      <x:c r="A3" s="22" t="str">
        <x:v>DataCo orders from Jan 2015 to Jan 2018; 2018 is a partial year</x:v>
      </x:c>
    </x:row>
    <x:row r="4">
      <x:c r="A4" s="23" t="str">
        <x:v>Market</x:v>
      </x:c>
      <x:c r="B4" s="24" t="str">
        <x:v>All</x:v>
      </x:c>
      <x:c r="C4" s="24"/>
      <x:c r="D4" s="24" t="str">
        <x:v>Customer segment</x:v>
      </x:c>
      <x:c r="E4" s="24" t="str">
        <x:v>All</x:v>
      </x:c>
      <x:c r="G4" s="25" t="str">
        <x:v>Filters apply to KPI cards and monthly trend</x:v>
      </x:c>
    </x:row>
    <x:row r="6">
      <x:c r="A6" s="34" t="str">
        <x:v>Total Records</x:v>
      </x:c>
      <x:c r="B6" s="29"/>
      <x:c r="C6" s="34" t="str">
        <x:v>Total Orders</x:v>
      </x:c>
      <x:c r="D6" s="29"/>
      <x:c r="E6" s="34" t="str">
        <x:v>Gross Sales</x:v>
      </x:c>
      <x:c r="F6" s="29"/>
      <x:c r="G6" s="34" t="str">
        <x:v>Total Profit</x:v>
      </x:c>
      <x:c r="H6" s="29"/>
      <x:c r="I6" s="34" t="str">
        <x:v>Gross AOV</x:v>
      </x:c>
      <x:c r="J6" s="29"/>
      <x:c r="K6" s="34" t="str">
        <x:v>Late Delivery %</x:v>
      </x:c>
      <x:c r="L6" s="29"/>
    </x:row>
    <x:row r="7">
      <x:c r="A7" s="36" t="n">
        <x:f>SUMIFS('Dashboard Data'!$C$4:'Dashboard Data'!$C$27,'Dashboard Data'!$A$4:'Dashboard Data'!$A$27,$B$4,'Dashboard Data'!$B$4:'Dashboard Data'!$B$27,$E$4)</x:f>
        <x:v>180519</x:v>
      </x:c>
      <x:c r="B7" s="31"/>
      <x:c r="C7" s="36" t="n">
        <x:f>SUMIFS('Dashboard Data'!$D$4:'Dashboard Data'!$D$27,'Dashboard Data'!$A$4:'Dashboard Data'!$A$27,$B$4,'Dashboard Data'!$B$4:'Dashboard Data'!$B$27,$E$4)</x:f>
        <x:v>65752</x:v>
      </x:c>
      <x:c r="D7" s="31"/>
      <x:c r="E7" s="37" t="n">
        <x:f>SUMIFS('Dashboard Data'!$F$4:'Dashboard Data'!$F$27,'Dashboard Data'!$A$4:'Dashboard Data'!$A$27,$B$4,'Dashboard Data'!$B$4:'Dashboard Data'!$B$27,$E$4)</x:f>
        <x:v>36784734.31</x:v>
      </x:c>
      <x:c r="F7" s="31"/>
      <x:c r="G7" s="38" t="n">
        <x:f>SUMIFS('Dashboard Data'!$I$4:'Dashboard Data'!$I$27,'Dashboard Data'!$A$4:'Dashboard Data'!$A$27,$B$4,'Dashboard Data'!$B$4:'Dashboard Data'!$B$27,$E$4)</x:f>
        <x:v>3966902.97</x:v>
      </x:c>
      <x:c r="H7" s="31"/>
      <x:c r="I7" s="39" t="n">
        <x:f>IFERROR(SUMIFS('Dashboard Data'!$F$4:'Dashboard Data'!$F$27,'Dashboard Data'!$A$4:'Dashboard Data'!$A$27,$B$4,'Dashboard Data'!$B$4:'Dashboard Data'!$B$27,$E$4)/SUMIFS('Dashboard Data'!$D$4:'Dashboard Data'!$D$27,'Dashboard Data'!$A$4:'Dashboard Data'!$A$27,$B$4,'Dashboard Data'!$B$4:'Dashboard Data'!$B$27,$E$4),0)</x:f>
        <x:v>559.4466223080667</x:v>
      </x:c>
      <x:c r="J7" s="31"/>
      <x:c r="K7" s="40" t="n">
        <x:f>IFERROR(SUMIFS('Dashboard Data'!$J$4:'Dashboard Data'!$J$27,'Dashboard Data'!$A$4:'Dashboard Data'!$A$27,$B$4,'Dashboard Data'!$B$4:'Dashboard Data'!$B$27,$E$4)/SUMIFS('Dashboard Data'!$C$4:'Dashboard Data'!$C$27,'Dashboard Data'!$A$4:'Dashboard Data'!$A$27,$B$4,'Dashboard Data'!$B$4:'Dashboard Data'!$B$27,$E$4),0)</x:f>
        <x:v>0.5482913155955883</x:v>
      </x:c>
      <x:c r="L7" s="31"/>
    </x:row>
    <x:row r="8">
      <x:c r="A8" s="30"/>
      <x:c r="B8" s="31"/>
      <x:c r="C8" s="30"/>
      <x:c r="D8" s="31"/>
      <x:c r="E8" s="30"/>
      <x:c r="F8" s="31"/>
      <x:c r="G8" s="30"/>
      <x:c r="H8" s="31"/>
      <x:c r="I8" s="30"/>
      <x:c r="J8" s="31"/>
      <x:c r="K8" s="30"/>
      <x:c r="L8" s="31"/>
    </x:row>
    <x:row r="9">
      <x:c r="A9" s="32"/>
      <x:c r="B9" s="33"/>
      <x:c r="C9" s="32"/>
      <x:c r="D9" s="33"/>
      <x:c r="E9" s="32"/>
      <x:c r="F9" s="33"/>
      <x:c r="G9" s="32"/>
      <x:c r="H9" s="33"/>
      <x:c r="I9" s="32"/>
      <x:c r="J9" s="33"/>
      <x:c r="K9" s="32"/>
      <x:c r="L9" s="33"/>
    </x:row>
    <x:row r="63">
      <x:c r="A63" s="43" t="str">
        <x:v>Key findings and recommended actions</x:v>
      </x:c>
      <x:c r="B63" s="43"/>
      <x:c r="C63" s="43"/>
      <x:c r="D63" s="43"/>
      <x:c r="E63" s="43"/>
      <x:c r="F63" s="43"/>
      <x:c r="G63" s="43"/>
      <x:c r="H63" s="43"/>
      <x:c r="I63" s="43"/>
      <x:c r="J63" s="43"/>
      <x:c r="K63" s="43"/>
      <x:c r="L63" s="43"/>
      <x:c r="M63" s="43"/>
      <x:c r="N63" s="43"/>
    </x:row>
    <x:row r="64">
      <x:c r="A64" s="44" t="str">
        <x:v>First Class is late on 95.27% of orders; reset the 1-day promise or improve carrier execution.</x:v>
      </x:c>
      <x:c r="B64" s="44"/>
      <x:c r="C64" s="44"/>
      <x:c r="D64" s="44"/>
      <x:c r="E64" s="44"/>
      <x:c r="F64" s="44"/>
      <x:c r="G64" s="44"/>
      <x:c r="H64" s="44"/>
      <x:c r="I64" s="44"/>
      <x:c r="J64" s="44"/>
      <x:c r="K64" s="44"/>
      <x:c r="L64" s="44"/>
      <x:c r="M64" s="44"/>
      <x:c r="N64" s="44"/>
    </x:row>
    <x:row r="65">
      <x:c r="A65" s="44" t="str">
        <x:v>The top 10 products generate 89.98% of gross sales; protect availability and supplier continuity for these SKUs.</x:v>
      </x:c>
      <x:c r="B65" s="44"/>
      <x:c r="C65" s="44"/>
      <x:c r="D65" s="44"/>
      <x:c r="E65" s="44"/>
      <x:c r="F65" s="44"/>
      <x:c r="G65" s="44"/>
      <x:c r="H65" s="44"/>
      <x:c r="I65" s="44"/>
      <x:c r="J65" s="44"/>
      <x:c r="K65" s="44"/>
      <x:c r="L65" s="44"/>
      <x:c r="M65" s="44"/>
      <x:c r="N65" s="44"/>
    </x:row>
    <x:row r="66">
      <x:c r="A66" s="44" t="str">
        <x:v>21.15% of orders are loss-making; review discount and product-level margin rules.</x:v>
      </x:c>
      <x:c r="B66" s="44"/>
      <x:c r="C66" s="44"/>
      <x:c r="D66" s="44"/>
      <x:c r="E66" s="44"/>
      <x:c r="F66" s="44"/>
      <x:c r="G66" s="44"/>
      <x:c r="H66" s="44"/>
      <x:c r="I66" s="44"/>
      <x:c r="J66" s="44"/>
      <x:c r="K66" s="44"/>
      <x:c r="L66" s="44"/>
      <x:c r="M66" s="44"/>
      <x:c r="N66" s="44"/>
    </x:row>
    <x:row r="67">
      <x:c r="A67" s="44" t="str">
        <x:v>Customer segment late rates vary by only 0.35 percentage points; prioritize shipping mode and carrier fixes over segment-specific policies.</x:v>
      </x:c>
      <x:c r="B67" s="44"/>
      <x:c r="C67" s="44"/>
      <x:c r="D67" s="44"/>
      <x:c r="E67" s="44"/>
      <x:c r="F67" s="44"/>
      <x:c r="G67" s="44"/>
      <x:c r="H67" s="44"/>
      <x:c r="I67" s="44"/>
      <x:c r="J67" s="44"/>
      <x:c r="K67" s="44"/>
      <x:c r="L67" s="44"/>
      <x:c r="M67" s="44"/>
      <x:c r="N67" s="44"/>
    </x:row>
  </x:sheetData>
  <x:dataValidations count="2">
    <x:dataValidation type="list" sqref="B4">
      <x:formula1>"All,Africa,Europe,LATAM,Pacific Asia,USCA"</x:formula1>
    </x:dataValidation>
    <x:dataValidation type="list" sqref="E4">
      <x:formula1>"All,Consumer,Corporate,Home Office"</x:formula1>
    </x:dataValidation>
  </x:dataValidations>
  <x:pageMargins left="0.7" right="0.7" top="0.75" bottom="0.75" header="0.3" footer="0.3"/>
  <x:drawing xmlns:r="http://schemas.openxmlformats.org/officeDocument/2006/relationships" r:id="Ra0a232b5be194070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</x:cols>
  <x:sheetData>
    <x:row r="2">
      <x:c r="A2" s="21" t="str">
        <x:v>Monthly and Yearly Performance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3">
      <x:c r="A3" s="22" t="str">
        <x:v>Gross sales are before discounts; profit is based on net sales</x:v>
      </x:c>
    </x:row>
    <x:row r="5">
      <x:c r="A5" s="12" t="str">
        <x:v>order_year_month</x:v>
      </x:c>
      <x:c r="B5" s="13" t="str">
        <x:v>records</x:v>
      </x:c>
      <x:c r="C5" s="13" t="str">
        <x:v>orders</x:v>
      </x:c>
      <x:c r="D5" s="13" t="str">
        <x:v>units</x:v>
      </x:c>
      <x:c r="E5" s="13" t="str">
        <x:v>gross_sales</x:v>
      </x:c>
      <x:c r="F5" s="13" t="str">
        <x:v>net_sales</x:v>
      </x:c>
      <x:c r="G5" s="13" t="str">
        <x:v>profit</x:v>
      </x:c>
      <x:c r="H5" s="13" t="str">
        <x:v>gross_aov</x:v>
      </x:c>
      <x:c r="I5" s="13" t="str">
        <x:v>profit_margin_net</x:v>
      </x:c>
      <x:c r="J5" s="13" t="str">
        <x:v>late_delivery_rate_row</x:v>
      </x:c>
      <x:c r="K5" s="13" t="str">
        <x:v>gross_sales_yoy</x:v>
      </x:c>
      <x:c r="L5" s="14" t="str">
        <x:v>profit_yoy</x:v>
      </x:c>
      <x:c r="N5" s="43" t="str">
        <x:v>Yearly summary</x:v>
      </x:c>
      <x:c r="O5" s="43"/>
      <x:c r="P5" s="43"/>
      <x:c r="Q5" s="43"/>
      <x:c r="R5" s="43"/>
      <x:c r="S5" s="43"/>
      <x:c r="T5" s="43"/>
      <x:c r="U5" s="43"/>
      <x:c r="V5" s="43"/>
    </x:row>
    <x:row r="6">
      <x:c r="A6" s="15" t="str">
        <x:v>2015-01</x:v>
      </x:c>
      <x:c r="B6" s="15" t="n">
        <x:v>5322</x:v>
      </x:c>
      <x:c r="C6" s="15" t="n">
        <x:v>1787</x:v>
      </x:c>
      <x:c r="D6" s="15" t="n">
        <x:v>11854</x:v>
      </x:c>
      <x:c r="E6" s="45" t="n">
        <x:v>1051590.06</x:v>
      </x:c>
      <x:c r="F6" s="45" t="n">
        <x:v>945382.15</x:v>
      </x:c>
      <x:c r="G6" s="45" t="n">
        <x:v>111660.74</x:v>
      </x:c>
      <x:c r="H6" s="45" t="n">
        <x:v>588.47</x:v>
      </x:c>
      <x:c r="I6" s="47" t="n">
        <x:v>0.11811174983576747</x:v>
      </x:c>
      <x:c r="J6" s="47" t="n">
        <x:v>0.5411499436302142</x:v>
      </x:c>
      <x:c r="K6" s="47" t="str"/>
      <x:c r="L6" s="47" t="str"/>
      <x:c r="N6" s="12" t="str">
        <x:v>order_year</x:v>
      </x:c>
      <x:c r="O6" s="13" t="str">
        <x:v>orders</x:v>
      </x:c>
      <x:c r="P6" s="13" t="str">
        <x:v>gross_sales</x:v>
      </x:c>
      <x:c r="Q6" s="13" t="str">
        <x:v>net_sales</x:v>
      </x:c>
      <x:c r="R6" s="13" t="str">
        <x:v>profit</x:v>
      </x:c>
      <x:c r="S6" s="13" t="str">
        <x:v>gross_aov</x:v>
      </x:c>
      <x:c r="T6" s="13" t="str">
        <x:v>gross_sales_yoy</x:v>
      </x:c>
      <x:c r="U6" s="13" t="str">
        <x:v>profit_yoy</x:v>
      </x:c>
      <x:c r="V6" s="14" t="str">
        <x:v>period_note</x:v>
      </x:c>
    </x:row>
    <x:row r="7">
      <x:c r="A7" s="16" t="str">
        <x:v>2015-02</x:v>
      </x:c>
      <x:c r="B7" s="16" t="n">
        <x:v>4729</x:v>
      </x:c>
      <x:c r="C7" s="16" t="n">
        <x:v>1585</x:v>
      </x:c>
      <x:c r="D7" s="16" t="n">
        <x:v>10438</x:v>
      </x:c>
      <x:c r="E7" s="46" t="n">
        <x:v>927009.88</x:v>
      </x:c>
      <x:c r="F7" s="46" t="n">
        <x:v>833012.42</x:v>
      </x:c>
      <x:c r="G7" s="46" t="n">
        <x:v>99140.66</x:v>
      </x:c>
      <x:c r="H7" s="46" t="n">
        <x:v>584.86</x:v>
      </x:c>
      <x:c r="I7" s="48" t="n">
        <x:v>0.11901462405566533</x:v>
      </x:c>
      <x:c r="J7" s="48" t="n">
        <x:v>0.5485303446817509</x:v>
      </x:c>
      <x:c r="K7" s="48" t="str"/>
      <x:c r="L7" s="48" t="str"/>
      <x:c r="N7" s="15" t="n">
        <x:v>2015</x:v>
      </x:c>
      <x:c r="O7" s="15" t="n">
        <x:v>20904</x:v>
      </x:c>
      <x:c r="P7" s="45" t="n">
        <x:v>12340831.19</x:v>
      </x:c>
      <x:c r="Q7" s="45" t="n">
        <x:v>11089543.43</x:v>
      </x:c>
      <x:c r="R7" s="45" t="n">
        <x:v>1318856.9</x:v>
      </x:c>
      <x:c r="S7" s="45" t="n">
        <x:v>590.36</x:v>
      </x:c>
      <x:c r="T7" s="47" t="str"/>
      <x:c r="U7" s="47" t="str"/>
      <x:c r="V7" s="15" t="str">
        <x:v>Full year</x:v>
      </x:c>
    </x:row>
    <x:row r="8">
      <x:c r="A8" s="16" t="str">
        <x:v>2015-03</x:v>
      </x:c>
      <x:c r="B8" s="16" t="n">
        <x:v>5362</x:v>
      </x:c>
      <x:c r="C8" s="16" t="n">
        <x:v>1781</x:v>
      </x:c>
      <x:c r="D8" s="16" t="n">
        <x:v>12062</x:v>
      </x:c>
      <x:c r="E8" s="46" t="n">
        <x:v>1051253.67</x:v>
      </x:c>
      <x:c r="F8" s="46" t="n">
        <x:v>944050.1</x:v>
      </x:c>
      <x:c r="G8" s="46" t="n">
        <x:v>113778.21</x:v>
      </x:c>
      <x:c r="H8" s="46" t="n">
        <x:v>590.26</x:v>
      </x:c>
      <x:c r="I8" s="48" t="n">
        <x:v>0.1205213685163531</x:v>
      </x:c>
      <x:c r="J8" s="48" t="n">
        <x:v>0.5475568817605371</x:v>
      </x:c>
      <x:c r="K8" s="48" t="str"/>
      <x:c r="L8" s="48" t="str"/>
      <x:c r="N8" s="16" t="n">
        <x:v>2016</x:v>
      </x:c>
      <x:c r="O8" s="16" t="n">
        <x:v>20859</x:v>
      </x:c>
      <x:c r="P8" s="46" t="n">
        <x:v>12303817.08</x:v>
      </x:c>
      <x:c r="Q8" s="46" t="n">
        <x:v>11055996.64</x:v>
      </x:c>
      <x:c r="R8" s="46" t="n">
        <x:v>1310119.07</x:v>
      </x:c>
      <x:c r="S8" s="46" t="n">
        <x:v>589.86</x:v>
      </x:c>
      <x:c r="T8" s="48" t="n">
        <x:v>-0.0029993206640727132</x:v>
      </x:c>
      <x:c r="U8" s="48" t="n">
        <x:v>-0.006625305596080877</x:v>
      </x:c>
      <x:c r="V8" s="16" t="str">
        <x:v>Full year</x:v>
      </x:c>
    </x:row>
    <x:row r="9">
      <x:c r="A9" s="16" t="str">
        <x:v>2015-04</x:v>
      </x:c>
      <x:c r="B9" s="16" t="n">
        <x:v>5126</x:v>
      </x:c>
      <x:c r="C9" s="16" t="n">
        <x:v>1710</x:v>
      </x:c>
      <x:c r="D9" s="16" t="n">
        <x:v>11287</x:v>
      </x:c>
      <x:c r="E9" s="46" t="n">
        <x:v>1014463.26</x:v>
      </x:c>
      <x:c r="F9" s="46" t="n">
        <x:v>912004.39</x:v>
      </x:c>
      <x:c r="G9" s="46" t="n">
        <x:v>108083.68</x:v>
      </x:c>
      <x:c r="H9" s="46" t="n">
        <x:v>593.25</x:v>
      </x:c>
      <x:c r="I9" s="48" t="n">
        <x:v>0.11851223654745784</x:v>
      </x:c>
      <x:c r="J9" s="48" t="n">
        <x:v>0.538431525555989</x:v>
      </x:c>
      <x:c r="K9" s="48" t="str"/>
      <x:c r="L9" s="48" t="str"/>
      <x:c r="N9" s="16" t="n">
        <x:v>2017</x:v>
      </x:c>
      <x:c r="O9" s="16" t="n">
        <x:v>21866</x:v>
      </x:c>
      <x:c r="P9" s="46" t="n">
        <x:v>11808435.93</x:v>
      </x:c>
      <x:c r="Q9" s="46" t="n">
        <x:v>10610909.92</x:v>
      </x:c>
      <x:c r="R9" s="46" t="n">
        <x:v>1304085.11</x:v>
      </x:c>
      <x:c r="S9" s="46" t="n">
        <x:v>540.04</x:v>
      </x:c>
      <x:c r="T9" s="48" t="n">
        <x:v>-0.04026239554595201</x:v>
      </x:c>
      <x:c r="U9" s="48" t="n">
        <x:v>-0.004605657713233624</x:v>
      </x:c>
      <x:c r="V9" s="16" t="str">
        <x:v>Full year</x:v>
      </x:c>
    </x:row>
    <x:row r="10">
      <x:c r="A10" s="16" t="str">
        <x:v>2015-05</x:v>
      </x:c>
      <x:c r="B10" s="16" t="n">
        <x:v>5357</x:v>
      </x:c>
      <x:c r="C10" s="16" t="n">
        <x:v>1776</x:v>
      </x:c>
      <x:c r="D10" s="16" t="n">
        <x:v>11902</x:v>
      </x:c>
      <x:c r="E10" s="46" t="n">
        <x:v>1050478.42</x:v>
      </x:c>
      <x:c r="F10" s="46" t="n">
        <x:v>943939.76</x:v>
      </x:c>
      <x:c r="G10" s="46" t="n">
        <x:v>112147.9</x:v>
      </x:c>
      <x:c r="H10" s="46" t="n">
        <x:v>591.49</x:v>
      </x:c>
      <x:c r="I10" s="48" t="n">
        <x:v>0.11880832310739829</x:v>
      </x:c>
      <x:c r="J10" s="48" t="n">
        <x:v>0.5508680231472839</x:v>
      </x:c>
      <x:c r="K10" s="48" t="str"/>
      <x:c r="L10" s="48" t="str"/>
      <x:c r="N10" s="16" t="n">
        <x:v>2018</x:v>
      </x:c>
      <x:c r="O10" s="16" t="n">
        <x:v>2123</x:v>
      </x:c>
      <x:c r="P10" s="46" t="n">
        <x:v>331650.11</x:v>
      </x:c>
      <x:c r="Q10" s="46" t="n">
        <x:v>297952.05</x:v>
      </x:c>
      <x:c r="R10" s="46" t="n">
        <x:v>33841.89</x:v>
      </x:c>
      <x:c r="S10" s="46" t="n">
        <x:v>156.22</x:v>
      </x:c>
      <x:c r="T10" s="48" t="n">
        <x:v>-0.9719141373196238</x:v>
      </x:c>
      <x:c r="U10" s="48" t="n">
        <x:v>-0.9740493241273187</x:v>
      </x:c>
      <x:c r="V10" s="16" t="str">
        <x:v>January only</x:v>
      </x:c>
    </x:row>
    <x:row r="11">
      <x:c r="A11" s="16" t="str">
        <x:v>2015-06</x:v>
      </x:c>
      <x:c r="B11" s="16" t="n">
        <x:v>5134</x:v>
      </x:c>
      <x:c r="C11" s="16" t="n">
        <x:v>1725</x:v>
      </x:c>
      <x:c r="D11" s="16" t="n">
        <x:v>11203</x:v>
      </x:c>
      <x:c r="E11" s="46" t="n">
        <x:v>1024006.15</x:v>
      </x:c>
      <x:c r="F11" s="46" t="n">
        <x:v>920242.05</x:v>
      </x:c>
      <x:c r="G11" s="46" t="n">
        <x:v>110147.16</x:v>
      </x:c>
      <x:c r="H11" s="46" t="n">
        <x:v>593.63</x:v>
      </x:c>
      <x:c r="I11" s="48" t="n">
        <x:v>0.11969368276531159</x:v>
      </x:c>
      <x:c r="J11" s="48" t="n">
        <x:v>0.5410985586287496</x:v>
      </x:c>
      <x:c r="K11" s="48" t="str"/>
      <x:c r="L11" s="48" t="str"/>
    </x:row>
    <x:row r="12">
      <x:c r="A12" s="16" t="str">
        <x:v>2015-07</x:v>
      </x:c>
      <x:c r="B12" s="16" t="n">
        <x:v>5299</x:v>
      </x:c>
      <x:c r="C12" s="16" t="n">
        <x:v>1763</x:v>
      </x:c>
      <x:c r="D12" s="16" t="n">
        <x:v>11800</x:v>
      </x:c>
      <x:c r="E12" s="46" t="n">
        <x:v>1038081.17</x:v>
      </x:c>
      <x:c r="F12" s="46" t="n">
        <x:v>932936.78</x:v>
      </x:c>
      <x:c r="G12" s="46" t="n">
        <x:v>115624.06</x:v>
      </x:c>
      <x:c r="H12" s="46" t="n">
        <x:v>588.82</x:v>
      </x:c>
      <x:c r="I12" s="48" t="n">
        <x:v>0.12393557900032626</x:v>
      </x:c>
      <x:c r="J12" s="48" t="n">
        <x:v>0.5546329496131346</x:v>
      </x:c>
      <x:c r="K12" s="48" t="str"/>
      <x:c r="L12" s="48" t="str"/>
    </x:row>
    <x:row r="13">
      <x:c r="A13" s="16" t="str">
        <x:v>2015-08</x:v>
      </x:c>
      <x:c r="B13" s="16" t="n">
        <x:v>5273</x:v>
      </x:c>
      <x:c r="C13" s="16" t="n">
        <x:v>1762</x:v>
      </x:c>
      <x:c r="D13" s="16" t="n">
        <x:v>11612</x:v>
      </x:c>
      <x:c r="E13" s="46" t="n">
        <x:v>1029494.67</x:v>
      </x:c>
      <x:c r="F13" s="46" t="n">
        <x:v>925192.86</x:v>
      </x:c>
      <x:c r="G13" s="46" t="n">
        <x:v>117979.77</x:v>
      </x:c>
      <x:c r="H13" s="46" t="n">
        <x:v>584.28</x:v>
      </x:c>
      <x:c r="I13" s="48" t="n">
        <x:v>0.12751910990752782</x:v>
      </x:c>
      <x:c r="J13" s="48" t="n">
        <x:v>0.5567987862696757</x:v>
      </x:c>
      <x:c r="K13" s="48" t="str"/>
      <x:c r="L13" s="48" t="str"/>
    </x:row>
    <x:row r="14">
      <x:c r="A14" s="16" t="str">
        <x:v>2015-09</x:v>
      </x:c>
      <x:c r="B14" s="16" t="n">
        <x:v>5140</x:v>
      </x:c>
      <x:c r="C14" s="16" t="n">
        <x:v>1706</x:v>
      </x:c>
      <x:c r="D14" s="16" t="n">
        <x:v>11366</x:v>
      </x:c>
      <x:c r="E14" s="46" t="n">
        <x:v>1018338.58</x:v>
      </x:c>
      <x:c r="F14" s="46" t="n">
        <x:v>914522.36</x:v>
      </x:c>
      <x:c r="G14" s="46" t="n">
        <x:v>113467.94</x:v>
      </x:c>
      <x:c r="H14" s="46" t="n">
        <x:v>596.92</x:v>
      </x:c>
      <x:c r="I14" s="48" t="n">
        <x:v>0.12407344529006377</x:v>
      </x:c>
      <x:c r="J14" s="48" t="n">
        <x:v>0.5669260700389105</x:v>
      </x:c>
      <x:c r="K14" s="48" t="str"/>
      <x:c r="L14" s="48" t="str"/>
    </x:row>
    <x:row r="15">
      <x:c r="A15" s="16" t="str">
        <x:v>2015-10</x:v>
      </x:c>
      <x:c r="B15" s="16" t="n">
        <x:v>5302</x:v>
      </x:c>
      <x:c r="C15" s="16" t="n">
        <x:v>1775</x:v>
      </x:c>
      <x:c r="D15" s="16" t="n">
        <x:v>11703</x:v>
      </x:c>
      <x:c r="E15" s="46" t="n">
        <x:v>1049154.25</x:v>
      </x:c>
      <x:c r="F15" s="46" t="n">
        <x:v>943131.09</x:v>
      </x:c>
      <x:c r="G15" s="46" t="n">
        <x:v>101757.87</x:v>
      </x:c>
      <x:c r="H15" s="46" t="n">
        <x:v>591.07</x:v>
      </x:c>
      <x:c r="I15" s="48" t="n">
        <x:v>0.10789366513195954</x:v>
      </x:c>
      <x:c r="J15" s="48" t="n">
        <x:v>0.5480950584685025</x:v>
      </x:c>
      <x:c r="K15" s="48" t="str"/>
      <x:c r="L15" s="48" t="str"/>
    </x:row>
    <x:row r="16">
      <x:c r="A16" s="16" t="str">
        <x:v>2015-11</x:v>
      </x:c>
      <x:c r="B16" s="16" t="n">
        <x:v>5235</x:v>
      </x:c>
      <x:c r="C16" s="16" t="n">
        <x:v>1729</x:v>
      </x:c>
      <x:c r="D16" s="16" t="n">
        <x:v>11463</x:v>
      </x:c>
      <x:c r="E16" s="46" t="n">
        <x:v>1029120.22</x:v>
      </x:c>
      <x:c r="F16" s="46" t="n">
        <x:v>924602.56</x:v>
      </x:c>
      <x:c r="G16" s="46" t="n">
        <x:v>104427.36</x:v>
      </x:c>
      <x:c r="H16" s="46" t="n">
        <x:v>595.21</x:v>
      </x:c>
      <x:c r="I16" s="48" t="n">
        <x:v>0.11294297086955934</x:v>
      </x:c>
      <x:c r="J16" s="48" t="n">
        <x:v>0.5426934097421203</x:v>
      </x:c>
      <x:c r="K16" s="48" t="str"/>
      <x:c r="L16" s="48" t="str"/>
    </x:row>
    <x:row r="17">
      <x:c r="A17" s="16" t="str">
        <x:v>2015-12</x:v>
      </x:c>
      <x:c r="B17" s="16" t="n">
        <x:v>5371</x:v>
      </x:c>
      <x:c r="C17" s="16" t="n">
        <x:v>1805</x:v>
      </x:c>
      <x:c r="D17" s="16" t="n">
        <x:v>11790</x:v>
      </x:c>
      <x:c r="E17" s="46" t="n">
        <x:v>1057840.86</x:v>
      </x:c>
      <x:c r="F17" s="46" t="n">
        <x:v>950526.91</x:v>
      </x:c>
      <x:c r="G17" s="46" t="n">
        <x:v>110641.55</x:v>
      </x:c>
      <x:c r="H17" s="46" t="n">
        <x:v>586.06</x:v>
      </x:c>
      <x:c r="I17" s="48" t="n">
        <x:v>0.11640022900561542</x:v>
      </x:c>
      <x:c r="J17" s="48" t="n">
        <x:v>0.5468255445913238</x:v>
      </x:c>
      <x:c r="K17" s="48" t="str"/>
      <x:c r="L17" s="48" t="str"/>
    </x:row>
    <x:row r="18">
      <x:c r="A18" s="16" t="str">
        <x:v>2016-01</x:v>
      </x:c>
      <x:c r="B18" s="16" t="n">
        <x:v>5317</x:v>
      </x:c>
      <x:c r="C18" s="16" t="n">
        <x:v>1772</x:v>
      </x:c>
      <x:c r="D18" s="16" t="n">
        <x:v>11597</x:v>
      </x:c>
      <x:c r="E18" s="46" t="n">
        <x:v>1046308.23</x:v>
      </x:c>
      <x:c r="F18" s="46" t="n">
        <x:v>940283.62</x:v>
      </x:c>
      <x:c r="G18" s="46" t="n">
        <x:v>106780.95</x:v>
      </x:c>
      <x:c r="H18" s="46" t="n">
        <x:v>590.47</x:v>
      </x:c>
      <x:c r="I18" s="48" t="n">
        <x:v>0.1135624908578116</x:v>
      </x:c>
      <x:c r="J18" s="48" t="n">
        <x:v>0.5557645288696633</x:v>
      </x:c>
      <x:c r="K18" s="48" t="n">
        <x:v>-0.005022708183453184</x:v>
      </x:c>
      <x:c r="L18" s="48" t="n">
        <x:v>-0.04370193140400114</x:v>
      </x:c>
    </x:row>
    <x:row r="19">
      <x:c r="A19" s="16" t="str">
        <x:v>2016-02</x:v>
      </x:c>
      <x:c r="B19" s="16" t="n">
        <x:v>4894</x:v>
      </x:c>
      <x:c r="C19" s="16" t="n">
        <x:v>1650</x:v>
      </x:c>
      <x:c r="D19" s="16" t="n">
        <x:v>10765</x:v>
      </x:c>
      <x:c r="E19" s="46" t="n">
        <x:v>968542.83</x:v>
      </x:c>
      <x:c r="F19" s="46" t="n">
        <x:v>870116.74</x:v>
      </x:c>
      <x:c r="G19" s="46" t="n">
        <x:v>86809.49</x:v>
      </x:c>
      <x:c r="H19" s="46" t="n">
        <x:v>587</x:v>
      </x:c>
      <x:c r="I19" s="48" t="n">
        <x:v>0.09976763577724065</x:v>
      </x:c>
      <x:c r="J19" s="48" t="n">
        <x:v>0.5414793624846751</x:v>
      </x:c>
      <x:c r="K19" s="48" t="n">
        <x:v>0.04480313629451271</x:v>
      </x:c>
      <x:c r="L19" s="48" t="n">
        <x:v>-0.12438055183413144</x:v>
      </x:c>
    </x:row>
    <x:row r="20">
      <x:c r="A20" s="16" t="str">
        <x:v>2016-03</x:v>
      </x:c>
      <x:c r="B20" s="16" t="n">
        <x:v>5210</x:v>
      </x:c>
      <x:c r="C20" s="16" t="n">
        <x:v>1764</x:v>
      </x:c>
      <x:c r="D20" s="16" t="n">
        <x:v>11349</x:v>
      </x:c>
      <x:c r="E20" s="46" t="n">
        <x:v>1025853.1</x:v>
      </x:c>
      <x:c r="F20" s="46" t="n">
        <x:v>921487.72</x:v>
      </x:c>
      <x:c r="G20" s="46" t="n">
        <x:v>101259.99</x:v>
      </x:c>
      <x:c r="H20" s="46" t="n">
        <x:v>581.55</x:v>
      </x:c>
      <x:c r="I20" s="48" t="n">
        <x:v>0.10988750886446974</x:v>
      </x:c>
      <x:c r="J20" s="48" t="n">
        <x:v>0.5575815738963532</x:v>
      </x:c>
      <x:c r="K20" s="48" t="n">
        <x:v>-0.02416217010685917</x:v>
      </x:c>
      <x:c r="L20" s="48" t="n">
        <x:v>-0.1100230000102832</x:v>
      </x:c>
    </x:row>
    <x:row r="21">
      <x:c r="A21" s="16" t="str">
        <x:v>2016-04</x:v>
      </x:c>
      <x:c r="B21" s="16" t="n">
        <x:v>5097</x:v>
      </x:c>
      <x:c r="C21" s="16" t="n">
        <x:v>1706</x:v>
      </x:c>
      <x:c r="D21" s="16" t="n">
        <x:v>11208</x:v>
      </x:c>
      <x:c r="E21" s="46" t="n">
        <x:v>1001211.56</x:v>
      </x:c>
      <x:c r="F21" s="46" t="n">
        <x:v>900492.91</x:v>
      </x:c>
      <x:c r="G21" s="46" t="n">
        <x:v>114976.62</x:v>
      </x:c>
      <x:c r="H21" s="46" t="n">
        <x:v>586.88</x:v>
      </x:c>
      <x:c r="I21" s="48" t="n">
        <x:v>0.1276818714763673</x:v>
      </x:c>
      <x:c r="J21" s="48" t="n">
        <x:v>0.5522856582303316</x:v>
      </x:c>
      <x:c r="K21" s="48" t="n">
        <x:v>-0.013062769764574766</x:v>
      </x:c>
      <x:c r="L21" s="48" t="n">
        <x:v>0.06377410539685546</x:v>
      </x:c>
    </x:row>
    <x:row r="22">
      <x:c r="A22" s="16" t="str">
        <x:v>2016-05</x:v>
      </x:c>
      <x:c r="B22" s="16" t="n">
        <x:v>5302</x:v>
      </x:c>
      <x:c r="C22" s="16" t="n">
        <x:v>1763</x:v>
      </x:c>
      <x:c r="D22" s="16" t="n">
        <x:v>11603</x:v>
      </x:c>
      <x:c r="E22" s="46" t="n">
        <x:v>1029400.18</x:v>
      </x:c>
      <x:c r="F22" s="46" t="n">
        <x:v>924978.21</x:v>
      </x:c>
      <x:c r="G22" s="46" t="n">
        <x:v>110716.12</x:v>
      </x:c>
      <x:c r="H22" s="46" t="n">
        <x:v>583.89</x:v>
      </x:c>
      <x:c r="I22" s="48" t="n">
        <x:v>0.11969592235043029</x:v>
      </x:c>
      <x:c r="J22" s="48" t="n">
        <x:v>0.5565824217276499</x:v>
      </x:c>
      <x:c r="K22" s="48" t="n">
        <x:v>-0.020065371737955195</x:v>
      </x:c>
      <x:c r="L22" s="48" t="n">
        <x:v>-0.01276689086465288</x:v>
      </x:c>
    </x:row>
    <x:row r="23">
      <x:c r="A23" s="16" t="str">
        <x:v>2016-06</x:v>
      </x:c>
      <x:c r="B23" s="16" t="n">
        <x:v>5054</x:v>
      </x:c>
      <x:c r="C23" s="16" t="n">
        <x:v>1690</x:v>
      </x:c>
      <x:c r="D23" s="16" t="n">
        <x:v>11008</x:v>
      </x:c>
      <x:c r="E23" s="46" t="n">
        <x:v>1003059.53</x:v>
      </x:c>
      <x:c r="F23" s="46" t="n">
        <x:v>901448</x:v>
      </x:c>
      <x:c r="G23" s="46" t="n">
        <x:v>104196.07</x:v>
      </x:c>
      <x:c r="H23" s="46" t="n">
        <x:v>593.53</x:v>
      </x:c>
      <x:c r="I23" s="48" t="n">
        <x:v>0.11558744375715516</x:v>
      </x:c>
      <x:c r="J23" s="48" t="n">
        <x:v>0.5684606252473289</x:v>
      </x:c>
      <x:c r="K23" s="48" t="n">
        <x:v>-0.02045556074052879</x:v>
      </x:c>
      <x:c r="L23" s="48" t="n">
        <x:v>-0.054028537821583345</x:v>
      </x:c>
    </x:row>
    <x:row r="24">
      <x:c r="A24" s="16" t="str">
        <x:v>2016-07</x:v>
      </x:c>
      <x:c r="B24" s="16" t="n">
        <x:v>5305</x:v>
      </x:c>
      <x:c r="C24" s="16" t="n">
        <x:v>1758</x:v>
      </x:c>
      <x:c r="D24" s="16" t="n">
        <x:v>11652</x:v>
      </x:c>
      <x:c r="E24" s="46" t="n">
        <x:v>1045715.6</x:v>
      </x:c>
      <x:c r="F24" s="46" t="n">
        <x:v>939216.39</x:v>
      </x:c>
      <x:c r="G24" s="46" t="n">
        <x:v>119941.72</x:v>
      </x:c>
      <x:c r="H24" s="46" t="n">
        <x:v>594.83</x:v>
      </x:c>
      <x:c r="I24" s="48" t="n">
        <x:v>0.1277040320814674</x:v>
      </x:c>
      <x:c r="J24" s="48" t="n">
        <x:v>0.5193213949104618</x:v>
      </x:c>
      <x:c r="K24" s="48" t="n">
        <x:v>0.0073543670963609475</x:v>
      </x:c>
      <x:c r="L24" s="48" t="n">
        <x:v>0.037342227906544734</x:v>
      </x:c>
    </x:row>
    <x:row r="25">
      <x:c r="A25" s="16" t="str">
        <x:v>2016-08</x:v>
      </x:c>
      <x:c r="B25" s="16" t="n">
        <x:v>5334</x:v>
      </x:c>
      <x:c r="C25" s="16" t="n">
        <x:v>1766</x:v>
      </x:c>
      <x:c r="D25" s="16" t="n">
        <x:v>11683</x:v>
      </x:c>
      <x:c r="E25" s="46" t="n">
        <x:v>1048200.23</x:v>
      </x:c>
      <x:c r="F25" s="46" t="n">
        <x:v>942408.93</x:v>
      </x:c>
      <x:c r="G25" s="46" t="n">
        <x:v>110729.54</x:v>
      </x:c>
      <x:c r="H25" s="46" t="n">
        <x:v>593.54</x:v>
      </x:c>
      <x:c r="I25" s="48" t="n">
        <x:v>0.11749627627149076</x:v>
      </x:c>
      <x:c r="J25" s="48" t="n">
        <x:v>0.5526809148856393</x:v>
      </x:c>
      <x:c r="K25" s="48" t="n">
        <x:v>0.018169652107086653</x:v>
      </x:c>
      <x:c r="L25" s="48" t="n">
        <x:v>-0.061453162690518925</x:v>
      </x:c>
    </x:row>
    <x:row r="26">
      <x:c r="A26" s="16" t="str">
        <x:v>2016-09</x:v>
      </x:c>
      <x:c r="B26" s="16" t="n">
        <x:v>5160</x:v>
      </x:c>
      <x:c r="C26" s="16" t="n">
        <x:v>1730</x:v>
      </x:c>
      <x:c r="D26" s="16" t="n">
        <x:v>11284</x:v>
      </x:c>
      <x:c r="E26" s="46" t="n">
        <x:v>1002397.02</x:v>
      </x:c>
      <x:c r="F26" s="46" t="n">
        <x:v>900371.62</x:v>
      </x:c>
      <x:c r="G26" s="46" t="n">
        <x:v>123384.71</x:v>
      </x:c>
      <x:c r="H26" s="46" t="n">
        <x:v>579.42</x:v>
      </x:c>
      <x:c r="I26" s="48" t="n">
        <x:v>0.13703753790018394</x:v>
      </x:c>
      <x:c r="J26" s="48" t="n">
        <x:v>0.5498062015503876</x:v>
      </x:c>
      <x:c r="K26" s="48" t="n">
        <x:v>-0.015654479082978456</x:v>
      </x:c>
      <x:c r="L26" s="48" t="n">
        <x:v>0.08739710970341052</x:v>
      </x:c>
    </x:row>
    <x:row r="27">
      <x:c r="A27" s="16" t="str">
        <x:v>2016-10</x:v>
      </x:c>
      <x:c r="B27" s="16" t="n">
        <x:v>5398</x:v>
      </x:c>
      <x:c r="C27" s="16" t="n">
        <x:v>1776</x:v>
      </x:c>
      <x:c r="D27" s="16" t="n">
        <x:v>11936</x:v>
      </x:c>
      <x:c r="E27" s="46" t="n">
        <x:v>1048130.53</x:v>
      </x:c>
      <x:c r="F27" s="46" t="n">
        <x:v>941882.27</x:v>
      </x:c>
      <x:c r="G27" s="46" t="n">
        <x:v>116781.97</x:v>
      </x:c>
      <x:c r="H27" s="46" t="n">
        <x:v>590.16</x:v>
      </x:c>
      <x:c r="I27" s="48" t="n">
        <x:v>0.12398786315406489</x:v>
      </x:c>
      <x:c r="J27" s="48" t="n">
        <x:v>0.547795479807336</x:v>
      </x:c>
      <x:c r="K27" s="48" t="n">
        <x:v>-0.000975757377907005</x:v>
      </x:c>
      <x:c r="L27" s="48" t="n">
        <x:v>0.14764558259719873</x:v>
      </x:c>
    </x:row>
    <x:row r="28">
      <x:c r="A28" s="16" t="str">
        <x:v>2016-11</x:v>
      </x:c>
      <x:c r="B28" s="16" t="n">
        <x:v>5210</x:v>
      </x:c>
      <x:c r="C28" s="16" t="n">
        <x:v>1721</x:v>
      </x:c>
      <x:c r="D28" s="16" t="n">
        <x:v>11493</x:v>
      </x:c>
      <x:c r="E28" s="46" t="n">
        <x:v>1047590.12</x:v>
      </x:c>
      <x:c r="F28" s="46" t="n">
        <x:v>941197.35</x:v>
      </x:c>
      <x:c r="G28" s="46" t="n">
        <x:v>109539.2</x:v>
      </x:c>
      <x:c r="H28" s="46" t="n">
        <x:v>608.71</x:v>
      </x:c>
      <x:c r="I28" s="48" t="n">
        <x:v>0.11638281811991927</x:v>
      </x:c>
      <x:c r="J28" s="48" t="n">
        <x:v>0.5462571976967371</x:v>
      </x:c>
      <x:c r="K28" s="48" t="n">
        <x:v>0.017947271505364126</x:v>
      </x:c>
      <x:c r="L28" s="48" t="n">
        <x:v>0.04895115609549072</x:v>
      </x:c>
    </x:row>
    <x:row r="29">
      <x:c r="A29" s="16" t="str">
        <x:v>2016-12</x:v>
      </x:c>
      <x:c r="B29" s="16" t="n">
        <x:v>5269</x:v>
      </x:c>
      <x:c r="C29" s="16" t="n">
        <x:v>1763</x:v>
      </x:c>
      <x:c r="D29" s="16" t="n">
        <x:v>11774</x:v>
      </x:c>
      <x:c r="E29" s="46" t="n">
        <x:v>1037408.15</x:v>
      </x:c>
      <x:c r="F29" s="46" t="n">
        <x:v>932112.88</x:v>
      </x:c>
      <x:c r="G29" s="46" t="n">
        <x:v>105002.69</x:v>
      </x:c>
      <x:c r="H29" s="46" t="n">
        <x:v>588.43</x:v>
      </x:c>
      <x:c r="I29" s="48" t="n">
        <x:v>0.11265018674562248</x:v>
      </x:c>
      <x:c r="J29" s="48" t="n">
        <x:v>0.5606376921617006</x:v>
      </x:c>
      <x:c r="K29" s="48" t="n">
        <x:v>-0.01931548569602437</x:v>
      </x:c>
      <x:c r="L29" s="48" t="n">
        <x:v>-0.05096512115023699</x:v>
      </x:c>
    </x:row>
    <x:row r="30">
      <x:c r="A30" s="16" t="str">
        <x:v>2017-01</x:v>
      </x:c>
      <x:c r="B30" s="16" t="n">
        <x:v>5217</x:v>
      </x:c>
      <x:c r="C30" s="16" t="n">
        <x:v>1745</x:v>
      </x:c>
      <x:c r="D30" s="16" t="n">
        <x:v>11605</x:v>
      </x:c>
      <x:c r="E30" s="46" t="n">
        <x:v>1029698</x:v>
      </x:c>
      <x:c r="F30" s="46" t="n">
        <x:v>925472.61</x:v>
      </x:c>
      <x:c r="G30" s="46" t="n">
        <x:v>114843.85</x:v>
      </x:c>
      <x:c r="H30" s="46" t="n">
        <x:v>590.08</x:v>
      </x:c>
      <x:c r="I30" s="48" t="n">
        <x:v>0.12409211116469455</x:v>
      </x:c>
      <x:c r="J30" s="48" t="n">
        <x:v>0.5361318765574085</x:v>
      </x:c>
      <x:c r="K30" s="48" t="n">
        <x:v>-0.01587508300493823</x:v>
      </x:c>
      <x:c r="L30" s="48" t="n">
        <x:v>0.07550878691377072</x:v>
      </x:c>
    </x:row>
    <x:row r="31">
      <x:c r="A31" s="16" t="str">
        <x:v>2017-02</x:v>
      </x:c>
      <x:c r="B31" s="16" t="n">
        <x:v>4906</x:v>
      </x:c>
      <x:c r="C31" s="16" t="n">
        <x:v>1614</x:v>
      </x:c>
      <x:c r="D31" s="16" t="n">
        <x:v>11070</x:v>
      </x:c>
      <x:c r="E31" s="46" t="n">
        <x:v>992534.88</x:v>
      </x:c>
      <x:c r="F31" s="46" t="n">
        <x:v>891924.28</x:v>
      </x:c>
      <x:c r="G31" s="46" t="n">
        <x:v>115111.07</x:v>
      </x:c>
      <x:c r="H31" s="46" t="n">
        <x:v>614.95</x:v>
      </x:c>
      <x:c r="I31" s="48" t="n">
        <x:v>0.12905924032026575</x:v>
      </x:c>
      <x:c r="J31" s="48" t="n">
        <x:v>0.5466775377089278</x:v>
      </x:c>
      <x:c r="K31" s="48" t="n">
        <x:v>0.024771284507882907</x:v>
      </x:c>
      <x:c r="L31" s="48" t="n">
        <x:v>0.3260194248347732</x:v>
      </x:c>
    </x:row>
    <x:row r="32">
      <x:c r="A32" s="16" t="str">
        <x:v>2017-03</x:v>
      </x:c>
      <x:c r="B32" s="16" t="n">
        <x:v>5347</x:v>
      </x:c>
      <x:c r="C32" s="16" t="n">
        <x:v>1782</x:v>
      </x:c>
      <x:c r="D32" s="16" t="n">
        <x:v>11676</x:v>
      </x:c>
      <x:c r="E32" s="46" t="n">
        <x:v>1048004.76</x:v>
      </x:c>
      <x:c r="F32" s="46" t="n">
        <x:v>942290.42</x:v>
      </x:c>
      <x:c r="G32" s="46" t="n">
        <x:v>118688.9</x:v>
      </x:c>
      <x:c r="H32" s="46" t="n">
        <x:v>588.11</x:v>
      </x:c>
      <x:c r="I32" s="48" t="n">
        <x:v>0.12595787612910253</x:v>
      </x:c>
      <x:c r="J32" s="48" t="n">
        <x:v>0.5526463437441556</x:v>
      </x:c>
      <x:c r="K32" s="48" t="n">
        <x:v>0.021593403577958803</x:v>
      </x:c>
      <x:c r="L32" s="48" t="n">
        <x:v>0.17212040016989927</x:v>
      </x:c>
    </x:row>
    <x:row r="33">
      <x:c r="A33" s="16" t="str">
        <x:v>2017-04</x:v>
      </x:c>
      <x:c r="B33" s="16" t="n">
        <x:v>5212</x:v>
      </x:c>
      <x:c r="C33" s="16" t="n">
        <x:v>1739</x:v>
      </x:c>
      <x:c r="D33" s="16" t="n">
        <x:v>11189</x:v>
      </x:c>
      <x:c r="E33" s="46" t="n">
        <x:v>1038321.6</x:v>
      </x:c>
      <x:c r="F33" s="46" t="n">
        <x:v>932318.19</x:v>
      </x:c>
      <x:c r="G33" s="46" t="n">
        <x:v>115961.06</x:v>
      </x:c>
      <x:c r="H33" s="46" t="n">
        <x:v>597.08</x:v>
      </x:c>
      <x:c r="I33" s="48" t="n">
        <x:v>0.12437927441917655</x:v>
      </x:c>
      <x:c r="J33" s="48" t="n">
        <x:v>0.5377973906369916</x:v>
      </x:c>
      <x:c r="K33" s="48" t="n">
        <x:v>0.03706513336701778</x:v>
      </x:c>
      <x:c r="L33" s="48" t="n">
        <x:v>0.008562088535912782</x:v>
      </x:c>
    </x:row>
    <x:row r="34">
      <x:c r="A34" s="16" t="str">
        <x:v>2017-05</x:v>
      </x:c>
      <x:c r="B34" s="16" t="n">
        <x:v>5317</x:v>
      </x:c>
      <x:c r="C34" s="16" t="n">
        <x:v>1763</x:v>
      </x:c>
      <x:c r="D34" s="16" t="n">
        <x:v>11033</x:v>
      </x:c>
      <x:c r="E34" s="46" t="n">
        <x:v>1105485.3</x:v>
      </x:c>
      <x:c r="F34" s="46" t="n">
        <x:v>993199.04</x:v>
      </x:c>
      <x:c r="G34" s="46" t="n">
        <x:v>115014.64</x:v>
      </x:c>
      <x:c r="H34" s="46" t="n">
        <x:v>627.05</x:v>
      </x:c>
      <x:c r="I34" s="48" t="n">
        <x:v>0.11580220617208813</x:v>
      </x:c>
      <x:c r="J34" s="48" t="n">
        <x:v>0.5347000188075983</x:v>
      </x:c>
      <x:c r="K34" s="48" t="n">
        <x:v>0.07391209121412823</x:v>
      </x:c>
      <x:c r="L34" s="48" t="n">
        <x:v>0.038824698697895066</x:v>
      </x:c>
    </x:row>
    <x:row r="35">
      <x:c r="A35" s="16" t="str">
        <x:v>2017-06</x:v>
      </x:c>
      <x:c r="B35" s="16" t="n">
        <x:v>4951</x:v>
      </x:c>
      <x:c r="C35" s="16" t="n">
        <x:v>1676</x:v>
      </x:c>
      <x:c r="D35" s="16" t="n">
        <x:v>10194</x:v>
      </x:c>
      <x:c r="E35" s="46" t="n">
        <x:v>1032086.47</x:v>
      </x:c>
      <x:c r="F35" s="46" t="n">
        <x:v>927445.96</x:v>
      </x:c>
      <x:c r="G35" s="46" t="n">
        <x:v>110399.29</x:v>
      </x:c>
      <x:c r="H35" s="46" t="n">
        <x:v>615.8</x:v>
      </x:c>
      <x:c r="I35" s="48" t="n">
        <x:v>0.11903581961799693</x:v>
      </x:c>
      <x:c r="J35" s="48" t="n">
        <x:v>0.5350434255705918</x:v>
      </x:c>
      <x:c r="K35" s="48" t="n">
        <x:v>0.02893840209065157</x:v>
      </x:c>
      <x:c r="L35" s="48" t="n">
        <x:v>0.05953410718849561</x:v>
      </x:c>
    </x:row>
    <x:row r="36">
      <x:c r="A36" s="16" t="str">
        <x:v>2017-07</x:v>
      </x:c>
      <x:c r="B36" s="16" t="n">
        <x:v>5318</x:v>
      </x:c>
      <x:c r="C36" s="16" t="n">
        <x:v>1776</x:v>
      </x:c>
      <x:c r="D36" s="16" t="n">
        <x:v>11091</x:v>
      </x:c>
      <x:c r="E36" s="46" t="n">
        <x:v>1104373.34</x:v>
      </x:c>
      <x:c r="F36" s="46" t="n">
        <x:v>992423.42</x:v>
      </x:c>
      <x:c r="G36" s="46" t="n">
        <x:v>113026.7</x:v>
      </x:c>
      <x:c r="H36" s="46" t="n">
        <x:v>621.83</x:v>
      </x:c>
      <x:c r="I36" s="48" t="n">
        <x:v>0.11388959361720825</x:v>
      </x:c>
      <x:c r="J36" s="48" t="n">
        <x:v>0.5477623166603987</x:v>
      </x:c>
      <x:c r="K36" s="48" t="n">
        <x:v>0.056093396713217336</x:v>
      </x:c>
      <x:c r="L36" s="48" t="n">
        <x:v>-0.057653166888052</x:v>
      </x:c>
    </x:row>
    <x:row r="37">
      <x:c r="A37" s="16" t="str">
        <x:v>2017-08</x:v>
      </x:c>
      <x:c r="B37" s="16" t="n">
        <x:v>5305</x:v>
      </x:c>
      <x:c r="C37" s="16" t="n">
        <x:v>1768</x:v>
      </x:c>
      <x:c r="D37" s="16" t="n">
        <x:v>11095</x:v>
      </x:c>
      <x:c r="E37" s="46" t="n">
        <x:v>1109337.15</x:v>
      </x:c>
      <x:c r="F37" s="46" t="n">
        <x:v>996507.87</x:v>
      </x:c>
      <x:c r="G37" s="46" t="n">
        <x:v>131501.16</x:v>
      </x:c>
      <x:c r="H37" s="46" t="n">
        <x:v>627.45</x:v>
      </x:c>
      <x:c r="I37" s="48" t="n">
        <x:v>0.1319619884186163</x:v>
      </x:c>
      <x:c r="J37" s="48" t="n">
        <x:v>0.564373232799246</x:v>
      </x:c>
      <x:c r="K37" s="48" t="n">
        <x:v>0.05832561208272202</x:v>
      </x:c>
      <x:c r="L37" s="48" t="n">
        <x:v>0.18758878615408325</x:v>
      </x:c>
    </x:row>
    <x:row r="38">
      <x:c r="A38" s="16" t="str">
        <x:v>2017-09</x:v>
      </x:c>
      <x:c r="B38" s="16" t="n">
        <x:v>5189</x:v>
      </x:c>
      <x:c r="C38" s="16" t="n">
        <x:v>1723</x:v>
      </x:c>
      <x:c r="D38" s="16" t="n">
        <x:v>10502</x:v>
      </x:c>
      <x:c r="E38" s="46" t="n">
        <x:v>1143775.09</x:v>
      </x:c>
      <x:c r="F38" s="46" t="n">
        <x:v>1027111.72</x:v>
      </x:c>
      <x:c r="G38" s="46" t="n">
        <x:v>122462.39</x:v>
      </x:c>
      <x:c r="H38" s="46" t="n">
        <x:v>663.83</x:v>
      </x:c>
      <x:c r="I38" s="48" t="n">
        <x:v>0.11922986332976514</x:v>
      </x:c>
      <x:c r="J38" s="48" t="n">
        <x:v>0.5423010213914049</x:v>
      </x:c>
      <x:c r="K38" s="48" t="n">
        <x:v>0.1410399943128322</x:v>
      </x:c>
      <x:c r="L38" s="48" t="n">
        <x:v>-0.007475156362567237</x:v>
      </x:c>
    </x:row>
    <x:row r="39">
      <x:c r="A39" s="16" t="str">
        <x:v>2017-10</x:v>
      </x:c>
      <x:c r="B39" s="16" t="n">
        <x:v>2255</x:v>
      </x:c>
      <x:c r="C39" s="16" t="n">
        <x:v>2101</x:v>
      </x:c>
      <x:c r="D39" s="16" t="n">
        <x:v>2490</x:v>
      </x:c>
      <x:c r="E39" s="46" t="n">
        <x:v>1073994.16</x:v>
      </x:c>
      <x:c r="F39" s="46" t="n">
        <x:v>966081.41</x:v>
      </x:c>
      <x:c r="G39" s="46" t="n">
        <x:v>113447.17</x:v>
      </x:c>
      <x:c r="H39" s="46" t="n">
        <x:v>511.18</x:v>
      </x:c>
      <x:c r="I39" s="48" t="n">
        <x:v>0.11743023809970632</x:v>
      </x:c>
      <x:c r="J39" s="48" t="n">
        <x:v>0.5365853658536586</x:v>
      </x:c>
      <x:c r="K39" s="48" t="n">
        <x:v>0.02467596283069806</x:v>
      </x:c>
      <x:c r="L39" s="48" t="n">
        <x:v>-0.02855577791674524</x:v>
      </x:c>
    </x:row>
    <x:row r="40">
      <x:c r="A40" s="16" t="str">
        <x:v>2017-11</x:v>
      </x:c>
      <x:c r="B40" s="16" t="n">
        <x:v>2055</x:v>
      </x:c>
      <x:c r="C40" s="16" t="n">
        <x:v>2055</x:v>
      </x:c>
      <x:c r="D40" s="16" t="n">
        <x:v>2055</x:v>
      </x:c>
      <x:c r="E40" s="46" t="n">
        <x:v>626914.37</x:v>
      </x:c>
      <x:c r="F40" s="46" t="n">
        <x:v>563393.47</x:v>
      </x:c>
      <x:c r="G40" s="46" t="n">
        <x:v>67791.25</x:v>
      </x:c>
      <x:c r="H40" s="46" t="n">
        <x:v>305.07</x:v>
      </x:c>
      <x:c r="I40" s="48" t="n">
        <x:v>0.12032665199332183</x:v>
      </x:c>
      <x:c r="J40" s="48" t="n">
        <x:v>0.5508515815085158</x:v>
      </x:c>
      <x:c r="K40" s="48" t="n">
        <x:v>-0.4015652133107174</x:v>
      </x:c>
      <x:c r="L40" s="48" t="n">
        <x:v>-0.3811233786626157</x:v>
      </x:c>
    </x:row>
    <x:row r="41">
      <x:c r="A41" s="16" t="str">
        <x:v>2017-12</x:v>
      </x:c>
      <x:c r="B41" s="16" t="n">
        <x:v>2124</x:v>
      </x:c>
      <x:c r="C41" s="16" t="n">
        <x:v>2124</x:v>
      </x:c>
      <x:c r="D41" s="16" t="n">
        <x:v>2124</x:v>
      </x:c>
      <x:c r="E41" s="46" t="n">
        <x:v>503910.81</x:v>
      </x:c>
      <x:c r="F41" s="46" t="n">
        <x:v>452741.53</x:v>
      </x:c>
      <x:c r="G41" s="46" t="n">
        <x:v>65837.63</x:v>
      </x:c>
      <x:c r="H41" s="46" t="n">
        <x:v>237.25</x:v>
      </x:c>
      <x:c r="I41" s="48" t="n">
        <x:v>0.14541990437678645</x:v>
      </x:c>
      <x:c r="J41" s="48" t="n">
        <x:v>0.551789077212806</x:v>
      </x:c>
      <x:c r="K41" s="48" t="n">
        <x:v>-0.5142598310992641</x:v>
      </x:c>
      <x:c r="L41" s="48" t="n">
        <x:v>-0.3729910157539773</x:v>
      </x:c>
    </x:row>
    <x:row r="42">
      <x:c r="A42" s="16" t="str">
        <x:v>2018-01</x:v>
      </x:c>
      <x:c r="B42" s="16" t="n">
        <x:v>2123</x:v>
      </x:c>
      <x:c r="C42" s="16" t="n">
        <x:v>2123</x:v>
      </x:c>
      <x:c r="D42" s="16" t="n">
        <x:v>2123</x:v>
      </x:c>
      <x:c r="E42" s="46" t="n">
        <x:v>331650.11</x:v>
      </x:c>
      <x:c r="F42" s="46" t="n">
        <x:v>297952.05</x:v>
      </x:c>
      <x:c r="G42" s="46" t="n">
        <x:v>33841.89</x:v>
      </x:c>
      <x:c r="H42" s="46" t="n">
        <x:v>156.22</x:v>
      </x:c>
      <x:c r="I42" s="48" t="n">
        <x:v>0.11358166523774547</x:v>
      </x:c>
      <x:c r="J42" s="48" t="n">
        <x:v>0.5628827131417805</x:v>
      </x:c>
      <x:c r="K42" s="48" t="n">
        <x:v>-0.6779151654174331</x:v>
      </x:c>
      <x:c r="L42" s="48" t="n">
        <x:v>-0.7053225749572136</x:v>
      </x:c>
    </x:row>
  </x:sheetData>
  <x:pageMargins left="0.7" right="0.7" top="0.75" bottom="0.75" header="0.3" footer="0.3"/>
  <x:tableParts count="2">
    <x:tablePart xmlns:r="http://schemas.openxmlformats.org/officeDocument/2006/relationships" r:id="Rfdbb0a895f584868"/>
    <x:tablePart xmlns:r="http://schemas.openxmlformats.org/officeDocument/2006/relationships" r:id="R6e3776bee6704b3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2">
      <x:c r="A2" s="21" t="str">
        <x:v>Customer and Regional Performance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3">
      <x:c r="A3" s="22" t="str">
        <x:v>Refreshable summary tables generated from the processed line-item dataset</x:v>
      </x:c>
    </x:row>
    <x:row r="5">
      <x:c r="A5" s="43" t="str">
        <x:v>Customer segments</x:v>
      </x:c>
      <x:c r="B5" s="43"/>
      <x:c r="C5" s="43"/>
      <x:c r="D5" s="43"/>
      <x:c r="E5" s="43"/>
      <x:c r="F5" s="43"/>
      <x:c r="G5" s="43"/>
      <x:c r="H5" s="43"/>
      <x:c r="I5" s="43"/>
      <x:c r="J5" s="43"/>
      <x:c r="K5" s="43"/>
      <x:c r="L5" s="43"/>
      <x:c r="M5" s="43"/>
    </x:row>
    <x:row r="6">
      <x:c r="A6" s="12" t="str">
        <x:v>customer_segment</x:v>
      </x:c>
      <x:c r="B6" s="13" t="str">
        <x:v>records</x:v>
      </x:c>
      <x:c r="C6" s="13" t="str">
        <x:v>orders</x:v>
      </x:c>
      <x:c r="D6" s="13" t="str">
        <x:v>units</x:v>
      </x:c>
      <x:c r="E6" s="13" t="str">
        <x:v>gross_sales</x:v>
      </x:c>
      <x:c r="F6" s="13" t="str">
        <x:v>net_sales</x:v>
      </x:c>
      <x:c r="G6" s="13" t="str">
        <x:v>discount</x:v>
      </x:c>
      <x:c r="H6" s="13" t="str">
        <x:v>profit</x:v>
      </x:c>
      <x:c r="I6" s="13" t="str">
        <x:v>gross_aov</x:v>
      </x:c>
      <x:c r="J6" s="13" t="str">
        <x:v>net_aov</x:v>
      </x:c>
      <x:c r="K6" s="13" t="str">
        <x:v>profit_margin_net</x:v>
      </x:c>
      <x:c r="L6" s="14" t="str">
        <x:v>late_delivery_rate_row</x:v>
      </x:c>
    </x:row>
    <x:row r="7">
      <x:c r="A7" s="15" t="str">
        <x:v>Consumer</x:v>
      </x:c>
      <x:c r="B7" s="15" t="n">
        <x:v>93504</x:v>
      </x:c>
      <x:c r="C7" s="15" t="n">
        <x:v>34119</x:v>
      </x:c>
      <x:c r="D7" s="15" t="n">
        <x:v>199234</x:v>
      </x:c>
      <x:c r="E7" s="45" t="n">
        <x:v>19095789.79</x:v>
      </x:c>
      <x:c r="F7" s="45" t="n">
        <x:v>17164278.19</x:v>
      </x:c>
      <x:c r="G7" s="45" t="n">
        <x:v>1931535.7</x:v>
      </x:c>
      <x:c r="H7" s="45" t="n">
        <x:v>2073487.67</x:v>
      </x:c>
      <x:c r="I7" s="45" t="n">
        <x:v>559.68</x:v>
      </x:c>
      <x:c r="J7" s="45" t="n">
        <x:v>503.07</x:v>
      </x:c>
      <x:c r="K7" s="47" t="n">
        <x:v>0.12080249731724954</x:v>
      </x:c>
      <x:c r="L7" s="47" t="n">
        <x:v>0.5480835044490076</x:v>
      </x:c>
    </x:row>
    <x:row r="8">
      <x:c r="A8" s="16" t="str">
        <x:v>Corporate</x:v>
      </x:c>
      <x:c r="B8" s="16" t="n">
        <x:v>54789</x:v>
      </x:c>
      <x:c r="C8" s="16" t="n">
        <x:v>19856</x:v>
      </x:c>
      <x:c r="D8" s="16" t="n">
        <x:v>116560</x:v>
      </x:c>
      <x:c r="E8" s="46" t="n">
        <x:v>11168406.63</x:v>
      </x:c>
      <x:c r="F8" s="46" t="n">
        <x:v>10030649.8</x:v>
      </x:c>
      <x:c r="G8" s="46" t="n">
        <x:v>1137770.7</x:v>
      </x:c>
      <x:c r="H8" s="46" t="n">
        <x:v>1202574.96</x:v>
      </x:c>
      <x:c r="I8" s="46" t="n">
        <x:v>562.47</x:v>
      </x:c>
      <x:c r="J8" s="46" t="n">
        <x:v>505.17</x:v>
      </x:c>
      <x:c r="K8" s="48" t="n">
        <x:v>0.11989003543917962</x:v>
      </x:c>
      <x:c r="L8" s="48" t="n">
        <x:v>0.5472266330832831</x:v>
      </x:c>
    </x:row>
    <x:row r="9">
      <x:c r="A9" s="16" t="str">
        <x:v>Home Office</x:v>
      </x:c>
      <x:c r="B9" s="16" t="n">
        <x:v>32226</x:v>
      </x:c>
      <x:c r="C9" s="16" t="n">
        <x:v>11777</x:v>
      </x:c>
      <x:c r="D9" s="16" t="n">
        <x:v>68285</x:v>
      </x:c>
      <x:c r="E9" s="46" t="n">
        <x:v>6520537.89</x:v>
      </x:c>
      <x:c r="F9" s="46" t="n">
        <x:v>5859474.05</x:v>
      </x:c>
      <x:c r="G9" s="46" t="n">
        <x:v>661072</x:v>
      </x:c>
      <x:c r="H9" s="46" t="n">
        <x:v>690840.34</x:v>
      </x:c>
      <x:c r="I9" s="46" t="n">
        <x:v>553.67</x:v>
      </x:c>
      <x:c r="J9" s="46" t="n">
        <x:v>497.54</x:v>
      </x:c>
      <x:c r="K9" s="48" t="n">
        <x:v>0.11790142495809841</x:v>
      </x:c>
      <x:c r="L9" s="48" t="n">
        <x:v>0.5507044001737728</x:v>
      </x:c>
    </x:row>
    <x:row r="12">
      <x:c r="A12" s="43" t="str">
        <x:v>Markets</x:v>
      </x:c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  <x:c r="L12" s="43"/>
      <x:c r="M12" s="43"/>
    </x:row>
    <x:row r="13">
      <x:c r="A13" s="12" t="str">
        <x:v>market</x:v>
      </x:c>
      <x:c r="B13" s="13" t="str">
        <x:v>records</x:v>
      </x:c>
      <x:c r="C13" s="13" t="str">
        <x:v>orders</x:v>
      </x:c>
      <x:c r="D13" s="13" t="str">
        <x:v>units</x:v>
      </x:c>
      <x:c r="E13" s="13" t="str">
        <x:v>gross_sales</x:v>
      </x:c>
      <x:c r="F13" s="13" t="str">
        <x:v>net_sales</x:v>
      </x:c>
      <x:c r="G13" s="13" t="str">
        <x:v>discount</x:v>
      </x:c>
      <x:c r="H13" s="13" t="str">
        <x:v>profit</x:v>
      </x:c>
      <x:c r="I13" s="13" t="str">
        <x:v>gross_aov</x:v>
      </x:c>
      <x:c r="J13" s="13" t="str">
        <x:v>net_aov</x:v>
      </x:c>
      <x:c r="K13" s="13" t="str">
        <x:v>profit_margin_net</x:v>
      </x:c>
      <x:c r="L13" s="14" t="str">
        <x:v>late_delivery_rate_row</x:v>
      </x:c>
    </x:row>
    <x:row r="14">
      <x:c r="A14" s="15" t="str">
        <x:v>Africa</x:v>
      </x:c>
      <x:c r="B14" s="15" t="n">
        <x:v>11614</x:v>
      </x:c>
      <x:c r="C14" s="15" t="n">
        <x:v>3854</x:v>
      </x:c>
      <x:c r="D14" s="15" t="n">
        <x:v>25603</x:v>
      </x:c>
      <x:c r="E14" s="45" t="n">
        <x:v>2294452.88</x:v>
      </x:c>
      <x:c r="F14" s="45" t="n">
        <x:v>2061679.37</x:v>
      </x:c>
      <x:c r="G14" s="45" t="n">
        <x:v>232776.37</x:v>
      </x:c>
      <x:c r="H14" s="45" t="n">
        <x:v>252071.18</x:v>
      </x:c>
      <x:c r="I14" s="45" t="n">
        <x:v>595.34</x:v>
      </x:c>
      <x:c r="J14" s="45" t="n">
        <x:v>534.95</x:v>
      </x:c>
      <x:c r="K14" s="47" t="n">
        <x:v>0.12226497663407282</x:v>
      </x:c>
      <x:c r="L14" s="47" t="n">
        <x:v>0.5458928878939211</x:v>
      </x:c>
    </x:row>
    <x:row r="15">
      <x:c r="A15" s="16" t="str">
        <x:v>Europe</x:v>
      </x:c>
      <x:c r="B15" s="16" t="n">
        <x:v>50252</x:v>
      </x:c>
      <x:c r="C15" s="16" t="n">
        <x:v>18561</x:v>
      </x:c>
      <x:c r="D15" s="16" t="n">
        <x:v>105238</x:v>
      </x:c>
      <x:c r="E15" s="46" t="n">
        <x:v>10872396.6</x:v>
      </x:c>
      <x:c r="F15" s="46" t="n">
        <x:v>9769198.23</x:v>
      </x:c>
      <x:c r="G15" s="46" t="n">
        <x:v>1103210.75</x:v>
      </x:c>
      <x:c r="H15" s="46" t="n">
        <x:v>1169442.96</x:v>
      </x:c>
      <x:c r="I15" s="46" t="n">
        <x:v>585.77</x:v>
      </x:c>
      <x:c r="J15" s="46" t="n">
        <x:v>526.33</x:v>
      </x:c>
      <x:c r="K15" s="48" t="n">
        <x:v>0.11970715840413446</x:v>
      </x:c>
      <x:c r="L15" s="48" t="n">
        <x:v>0.552077529252567</x:v>
      </x:c>
    </x:row>
    <x:row r="16">
      <x:c r="A16" s="16" t="str">
        <x:v>LATAM</x:v>
      </x:c>
      <x:c r="B16" s="16" t="n">
        <x:v>51594</x:v>
      </x:c>
      <x:c r="C16" s="16" t="n">
        <x:v>17181</x:v>
      </x:c>
      <x:c r="D16" s="16" t="n">
        <x:v>112942</x:v>
      </x:c>
      <x:c r="E16" s="46" t="n">
        <x:v>10277612.64</x:v>
      </x:c>
      <x:c r="F16" s="46" t="n">
        <x:v>9235761.99</x:v>
      </x:c>
      <x:c r="G16" s="46" t="n">
        <x:v>1041863.15</x:v>
      </x:c>
      <x:c r="H16" s="46" t="n">
        <x:v>1123321.61</x:v>
      </x:c>
      <x:c r="I16" s="46" t="n">
        <x:v>598.2</x:v>
      </x:c>
      <x:c r="J16" s="46" t="n">
        <x:v>537.56</x:v>
      </x:c>
      <x:c r="K16" s="48" t="n">
        <x:v>0.12162738832120988</x:v>
      </x:c>
      <x:c r="L16" s="48" t="n">
        <x:v>0.5435515757646238</x:v>
      </x:c>
    </x:row>
    <x:row r="17">
      <x:c r="A17" s="16" t="str">
        <x:v>Pacific Asia</x:v>
      </x:c>
      <x:c r="B17" s="16" t="n">
        <x:v>41260</x:v>
      </x:c>
      <x:c r="C17" s="16" t="n">
        <x:v>17577</x:v>
      </x:c>
      <x:c r="D17" s="16" t="n">
        <x:v>83680</x:v>
      </x:c>
      <x:c r="E17" s="46" t="n">
        <x:v>8273743.58</x:v>
      </x:c>
      <x:c r="F17" s="46" t="n">
        <x:v>7434262.58</x:v>
      </x:c>
      <x:c r="G17" s="46" t="n">
        <x:v>839493.31</x:v>
      </x:c>
      <x:c r="H17" s="46" t="n">
        <x:v>857753.44</x:v>
      </x:c>
      <x:c r="I17" s="46" t="n">
        <x:v>470.71</x:v>
      </x:c>
      <x:c r="J17" s="46" t="n">
        <x:v>422.95</x:v>
      </x:c>
      <x:c r="K17" s="48" t="n">
        <x:v>0.11537841591815283</x:v>
      </x:c>
      <x:c r="L17" s="48" t="n">
        <x:v>0.5504604944255937</x:v>
      </x:c>
    </x:row>
    <x:row r="18">
      <x:c r="A18" s="16" t="str">
        <x:v>USCA</x:v>
      </x:c>
      <x:c r="B18" s="16" t="n">
        <x:v>25799</x:v>
      </x:c>
      <x:c r="C18" s="16" t="n">
        <x:v>8579</x:v>
      </x:c>
      <x:c r="D18" s="16" t="n">
        <x:v>56616</x:v>
      </x:c>
      <x:c r="E18" s="46" t="n">
        <x:v>5066528.61</x:v>
      </x:c>
      <x:c r="F18" s="46" t="n">
        <x:v>4553499.87</x:v>
      </x:c>
      <x:c r="G18" s="46" t="n">
        <x:v>513034.82</x:v>
      </x:c>
      <x:c r="H18" s="46" t="n">
        <x:v>564313.78</x:v>
      </x:c>
      <x:c r="I18" s="46" t="n">
        <x:v>590.57</x:v>
      </x:c>
      <x:c r="J18" s="46" t="n">
        <x:v>530.77</x:v>
      </x:c>
      <x:c r="K18" s="48" t="n">
        <x:v>0.12392967961147652</x:v>
      </x:c>
      <x:c r="L18" s="48" t="n">
        <x:v>0.5480057366564596</x:v>
      </x:c>
    </x:row>
    <x:row r="22">
      <x:c r="A22" s="43" t="str">
        <x:v>Order regions</x:v>
      </x:c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  <x:c r="L22" s="43"/>
      <x:c r="M22" s="43"/>
    </x:row>
    <x:row r="23">
      <x:c r="A23" s="12" t="str">
        <x:v>order_region</x:v>
      </x:c>
      <x:c r="B23" s="13" t="str">
        <x:v>records</x:v>
      </x:c>
      <x:c r="C23" s="13" t="str">
        <x:v>orders</x:v>
      </x:c>
      <x:c r="D23" s="13" t="str">
        <x:v>gross_sales</x:v>
      </x:c>
      <x:c r="E23" s="13" t="str">
        <x:v>net_sales</x:v>
      </x:c>
      <x:c r="F23" s="13" t="str">
        <x:v>profit</x:v>
      </x:c>
      <x:c r="G23" s="13" t="str">
        <x:v>gross_aov</x:v>
      </x:c>
      <x:c r="H23" s="13" t="str">
        <x:v>profit_margin_net</x:v>
      </x:c>
      <x:c r="I23" s="14" t="str">
        <x:v>late_delivery_rate_row</x:v>
      </x:c>
    </x:row>
    <x:row r="24">
      <x:c r="A24" s="15" t="str">
        <x:v>Western Europe</x:v>
      </x:c>
      <x:c r="B24" s="15" t="n">
        <x:v>27109</x:v>
      </x:c>
      <x:c r="C24" s="15" t="n">
        <x:v>10010</x:v>
      </x:c>
      <x:c r="D24" s="45" t="n">
        <x:v>5894380.66</x:v>
      </x:c>
      <x:c r="E24" s="45" t="n">
        <x:v>5296002.84</x:v>
      </x:c>
      <x:c r="F24" s="45" t="n">
        <x:v>625446.08</x:v>
      </x:c>
      <x:c r="G24" s="45" t="n">
        <x:v>588.85</x:v>
      </x:c>
      <x:c r="H24" s="47" t="n">
        <x:v>0.11809776144304333</x:v>
      </x:c>
      <x:c r="I24" s="47" t="n">
        <x:v>0.5584861116234461</x:v>
      </x:c>
    </x:row>
    <x:row r="25">
      <x:c r="A25" s="16" t="str">
        <x:v>Central America</x:v>
      </x:c>
      <x:c r="B25" s="16" t="n">
        <x:v>28341</x:v>
      </x:c>
      <x:c r="C25" s="16" t="n">
        <x:v>9396</x:v>
      </x:c>
      <x:c r="D25" s="46" t="n">
        <x:v>5665711.99</x:v>
      </x:c>
      <x:c r="E25" s="46" t="n">
        <x:v>5093849.66</x:v>
      </x:c>
      <x:c r="F25" s="46" t="n">
        <x:v>616341.57</x:v>
      </x:c>
      <x:c r="G25" s="46" t="n">
        <x:v>602.99</x:v>
      </x:c>
      <x:c r="H25" s="48" t="n">
        <x:v>0.12099720469567214</x:v>
      </x:c>
      <x:c r="I25" s="48" t="n">
        <x:v>0.5475459581525</x:v>
      </x:c>
    </x:row>
    <x:row r="26">
      <x:c r="A26" s="16" t="str">
        <x:v>South America</x:v>
      </x:c>
      <x:c r="B26" s="16" t="n">
        <x:v>14935</x:v>
      </x:c>
      <x:c r="C26" s="16" t="n">
        <x:v>4979</x:v>
      </x:c>
      <x:c r="D26" s="46" t="n">
        <x:v>2960881.35</x:v>
      </x:c>
      <x:c r="E26" s="46" t="n">
        <x:v>2660243.66</x:v>
      </x:c>
      <x:c r="F26" s="46" t="n">
        <x:v>335154.4</x:v>
      </x:c>
      <x:c r="G26" s="46" t="n">
        <x:v>594.67</x:v>
      </x:c>
      <x:c r="H26" s="48" t="n">
        <x:v>0.12598635419734447</x:v>
      </x:c>
      <x:c r="I26" s="48" t="n">
        <x:v>0.5430867090726481</x:v>
      </x:c>
    </x:row>
    <x:row r="27">
      <x:c r="A27" s="16" t="str">
        <x:v>Northern Europe</x:v>
      </x:c>
      <x:c r="B27" s="16" t="n">
        <x:v>9792</x:v>
      </x:c>
      <x:c r="C27" s="16" t="n">
        <x:v>3716</x:v>
      </x:c>
      <x:c r="D27" s="46" t="n">
        <x:v>2155830.61</x:v>
      </x:c>
      <x:c r="E27" s="46" t="n">
        <x:v>1939362.41</x:v>
      </x:c>
      <x:c r="F27" s="46" t="n">
        <x:v>233450.6</x:v>
      </x:c>
      <x:c r="G27" s="46" t="n">
        <x:v>580.15</x:v>
      </x:c>
      <x:c r="H27" s="48" t="n">
        <x:v>0.12037492260149563</x:v>
      </x:c>
      <x:c r="I27" s="48" t="n">
        <x:v>0.5404411764705882</x:v>
      </x:c>
    </x:row>
    <x:row r="28">
      <x:c r="A28" s="16" t="str">
        <x:v>Southern Europe</x:v>
      </x:c>
      <x:c r="B28" s="16" t="n">
        <x:v>9431</x:v>
      </x:c>
      <x:c r="C28" s="16" t="n">
        <x:v>3543</x:v>
      </x:c>
      <x:c r="D28" s="46" t="n">
        <x:v>2047918.78</x:v>
      </x:c>
      <x:c r="E28" s="46" t="n">
        <x:v>1837525.8</x:v>
      </x:c>
      <x:c r="F28" s="46" t="n">
        <x:v>230829.23</x:v>
      </x:c>
      <x:c r="G28" s="46" t="n">
        <x:v>578.02</x:v>
      </x:c>
      <x:c r="H28" s="48" t="n">
        <x:v>0.12561958585833188</x:v>
      </x:c>
      <x:c r="I28" s="48" t="n">
        <x:v>0.5438447672569187</x:v>
      </x:c>
    </x:row>
    <x:row r="29">
      <x:c r="A29" s="16" t="str">
        <x:v>Oceania</x:v>
      </x:c>
      <x:c r="B29" s="16" t="n">
        <x:v>10148</x:v>
      </x:c>
      <x:c r="C29" s="16" t="n">
        <x:v>4362</x:v>
      </x:c>
      <x:c r="D29" s="46" t="n">
        <x:v>2016654.16</x:v>
      </x:c>
      <x:c r="E29" s="46" t="n">
        <x:v>1809996.53</x:v>
      </x:c>
      <x:c r="F29" s="46" t="n">
        <x:v>201478.02</x:v>
      </x:c>
      <x:c r="G29" s="46" t="n">
        <x:v>462.32</x:v>
      </x:c>
      <x:c r="H29" s="48" t="n">
        <x:v>0.11131403660757294</x:v>
      </x:c>
      <x:c r="I29" s="48" t="n">
        <x:v>0.5402049664958612</x:v>
      </x:c>
    </x:row>
    <x:row r="30">
      <x:c r="A30" s="16" t="str">
        <x:v>Southeast Asia</x:v>
      </x:c>
      <x:c r="B30" s="16" t="n">
        <x:v>9539</x:v>
      </x:c>
      <x:c r="C30" s="16" t="n">
        <x:v>4356</x:v>
      </x:c>
      <x:c r="D30" s="46" t="n">
        <x:v>1932495.53</x:v>
      </x:c>
      <x:c r="E30" s="46" t="n">
        <x:v>1738553.42</x:v>
      </x:c>
      <x:c r="F30" s="46" t="n">
        <x:v>211342.82</x:v>
      </x:c>
      <x:c r="G30" s="46" t="n">
        <x:v>443.64</x:v>
      </x:c>
      <x:c r="H30" s="48" t="n">
        <x:v>0.12156245391642899</x:v>
      </x:c>
      <x:c r="I30" s="48" t="n">
        <x:v>0.5552992976202956</x:v>
      </x:c>
    </x:row>
    <x:row r="31">
      <x:c r="A31" s="16" t="str">
        <x:v>Caribbean</x:v>
      </x:c>
      <x:c r="B31" s="16" t="n">
        <x:v>8318</x:v>
      </x:c>
      <x:c r="C31" s="16" t="n">
        <x:v>2806</x:v>
      </x:c>
      <x:c r="D31" s="46" t="n">
        <x:v>1651019.3</x:v>
      </x:c>
      <x:c r="E31" s="46" t="n">
        <x:v>1481668.67</x:v>
      </x:c>
      <x:c r="F31" s="46" t="n">
        <x:v>171825.64</x:v>
      </x:c>
      <x:c r="G31" s="46" t="n">
        <x:v>588.39</x:v>
      </x:c>
      <x:c r="H31" s="48" t="n">
        <x:v>0.11596765422596132</x:v>
      </x:c>
      <x:c r="I31" s="48" t="n">
        <x:v>0.5307766289973551</x:v>
      </x:c>
    </x:row>
    <x:row r="32">
      <x:c r="A32" s="16" t="str">
        <x:v>West of USA</x:v>
      </x:c>
      <x:c r="B32" s="16" t="n">
        <x:v>7993</x:v>
      </x:c>
      <x:c r="C32" s="16" t="n">
        <x:v>2667</x:v>
      </x:c>
      <x:c r="D32" s="46" t="n">
        <x:v>1571415.93</x:v>
      </x:c>
      <x:c r="E32" s="46" t="n">
        <x:v>1412253.58</x:v>
      </x:c>
      <x:c r="F32" s="46" t="n">
        <x:v>164940.66</x:v>
      </x:c>
      <x:c r="G32" s="46" t="n">
        <x:v>589.21</x:v>
      </x:c>
      <x:c r="H32" s="48" t="n">
        <x:v>0.11679252390353295</x:v>
      </x:c>
      <x:c r="I32" s="48" t="n">
        <x:v>0.5395971475040661</x:v>
      </x:c>
    </x:row>
    <x:row r="33">
      <x:c r="A33" s="16" t="str">
        <x:v>South Asia</x:v>
      </x:c>
      <x:c r="B33" s="16" t="n">
        <x:v>7731</x:v>
      </x:c>
      <x:c r="C33" s="16" t="n">
        <x:v>3335</x:v>
      </x:c>
      <x:c r="D33" s="46" t="n">
        <x:v>1553680.89</x:v>
      </x:c>
      <x:c r="E33" s="46" t="n">
        <x:v>1397364.56</x:v>
      </x:c>
      <x:c r="F33" s="46" t="n">
        <x:v>165703.9</x:v>
      </x:c>
      <x:c r="G33" s="46" t="n">
        <x:v>465.87</x:v>
      </x:c>
      <x:c r="H33" s="48" t="n">
        <x:v>0.11858315628099227</x:v>
      </x:c>
      <x:c r="I33" s="48" t="n">
        <x:v>0.5626697710516104</x:v>
      </x:c>
    </x:row>
    <x:row r="34">
      <x:c r="A34" s="16" t="str">
        <x:v>Eastern Asia</x:v>
      </x:c>
      <x:c r="B34" s="16" t="n">
        <x:v>7280</x:v>
      </x:c>
      <x:c r="C34" s="16" t="n">
        <x:v>3318</x:v>
      </x:c>
      <x:c r="D34" s="46" t="n">
        <x:v>1486401.31</x:v>
      </x:c>
      <x:c r="E34" s="46" t="n">
        <x:v>1334313.4</x:v>
      </x:c>
      <x:c r="F34" s="46" t="n">
        <x:v>147368.01</x:v>
      </x:c>
      <x:c r="G34" s="46" t="n">
        <x:v>447.98</x:v>
      </x:c>
      <x:c r="H34" s="48" t="n">
        <x:v>0.11044482503136072</x:v>
      </x:c>
      <x:c r="I34" s="48" t="n">
        <x:v>0.5432692307692307</x:v>
      </x:c>
    </x:row>
    <x:row r="35">
      <x:c r="A35" s="16" t="str">
        <x:v>East of USA</x:v>
      </x:c>
      <x:c r="B35" s="16" t="n">
        <x:v>6915</x:v>
      </x:c>
      <x:c r="C35" s="16" t="n">
        <x:v>2323</x:v>
      </x:c>
      <x:c r="D35" s="46" t="n">
        <x:v>1371111.96</x:v>
      </x:c>
      <x:c r="E35" s="46" t="n">
        <x:v>1231955.12</x:v>
      </x:c>
      <x:c r="F35" s="46" t="n">
        <x:v>156263.3</x:v>
      </x:c>
      <x:c r="G35" s="46" t="n">
        <x:v>590.23</x:v>
      </x:c>
      <x:c r="H35" s="48" t="n">
        <x:v>0.12684171481831252</x:v>
      </x:c>
      <x:c r="I35" s="48" t="n">
        <x:v>0.5566160520607375</x:v>
      </x:c>
    </x:row>
    <x:row r="36">
      <x:c r="A36" s="16" t="str">
        <x:v>West Asia</x:v>
      </x:c>
      <x:c r="B36" s="16" t="n">
        <x:v>6009</x:v>
      </x:c>
      <x:c r="C36" s="16" t="n">
        <x:v>2022</x:v>
      </x:c>
      <x:c r="D36" s="46" t="n">
        <x:v>1174671.76</x:v>
      </x:c>
      <x:c r="E36" s="46" t="n">
        <x:v>1056080.98</x:v>
      </x:c>
      <x:c r="F36" s="46" t="n">
        <x:v>118815.41</x:v>
      </x:c>
      <x:c r="G36" s="46" t="n">
        <x:v>580.95</x:v>
      </x:c>
      <x:c r="H36" s="48" t="n">
        <x:v>0.11250596521490237</x:v>
      </x:c>
      <x:c r="I36" s="48" t="n">
        <x:v>0.5528374105508405</x:v>
      </x:c>
    </x:row>
    <x:row r="37">
      <x:c r="A37" s="16" t="str">
        <x:v>US Center</x:v>
      </x:c>
      <x:c r="B37" s="16" t="n">
        <x:v>5887</x:v>
      </x:c>
      <x:c r="C37" s="16" t="n">
        <x:v>1935</x:v>
      </x:c>
      <x:c r="D37" s="46" t="n">
        <x:v>1151355.75</x:v>
      </x:c>
      <x:c r="E37" s="46" t="n">
        <x:v>1034129.42</x:v>
      </x:c>
      <x:c r="F37" s="46" t="n">
        <x:v>131094.23</x:v>
      </x:c>
      <x:c r="G37" s="46" t="n">
        <x:v>595.02</x:v>
      </x:c>
      <x:c r="H37" s="48" t="n">
        <x:v>0.12676772120069846</x:v>
      </x:c>
      <x:c r="I37" s="48" t="n">
        <x:v>0.5524036011550875</x:v>
      </x:c>
    </x:row>
    <x:row r="38">
      <x:c r="A38" s="16" t="str">
        <x:v>South of  USA</x:v>
      </x:c>
      <x:c r="B38" s="16" t="n">
        <x:v>4045</x:v>
      </x:c>
      <x:c r="C38" s="16" t="n">
        <x:v>1345</x:v>
      </x:c>
      <x:c r="D38" s="46" t="n">
        <x:v>785783.93</x:v>
      </x:c>
      <x:c r="E38" s="46" t="n">
        <x:v>706904.33</x:v>
      </x:c>
      <x:c r="F38" s="46" t="n">
        <x:v>88114.88</x:v>
      </x:c>
      <x:c r="G38" s="46" t="n">
        <x:v>584.23</x:v>
      </x:c>
      <x:c r="H38" s="48" t="n">
        <x:v>0.12464894648473862</x:v>
      </x:c>
      <x:c r="I38" s="48" t="n">
        <x:v>0.557725587144623</x:v>
      </x:c>
    </x:row>
    <x:row r="39">
      <x:c r="A39" s="16" t="str">
        <x:v>Eastern Europe</x:v>
      </x:c>
      <x:c r="B39" s="16" t="n">
        <x:v>3920</x:v>
      </x:c>
      <x:c r="C39" s="16" t="n">
        <x:v>1292</x:v>
      </x:c>
      <x:c r="D39" s="46" t="n">
        <x:v>774266.55</x:v>
      </x:c>
      <x:c r="E39" s="46" t="n">
        <x:v>696307.18</x:v>
      </x:c>
      <x:c r="F39" s="46" t="n">
        <x:v>79717.05</x:v>
      </x:c>
      <x:c r="G39" s="46" t="n">
        <x:v>599.28</x:v>
      </x:c>
      <x:c r="H39" s="48" t="n">
        <x:v>0.11448546315435093</x:v>
      </x:c>
      <x:c r="I39" s="48" t="n">
        <x:v>0.5566326530612244</x:v>
      </x:c>
    </x:row>
    <x:row r="40">
      <x:c r="A40" s="16" t="str">
        <x:v>West Africa</x:v>
      </x:c>
      <x:c r="B40" s="16" t="n">
        <x:v>3696</x:v>
      </x:c>
      <x:c r="C40" s="16" t="n">
        <x:v>1223</x:v>
      </x:c>
      <x:c r="D40" s="46" t="n">
        <x:v>727951.18</x:v>
      </x:c>
      <x:c r="E40" s="46" t="n">
        <x:v>654168.02</x:v>
      </x:c>
      <x:c r="F40" s="46" t="n">
        <x:v>80030.27</x:v>
      </x:c>
      <x:c r="G40" s="46" t="n">
        <x:v>595.22</x:v>
      </x:c>
      <x:c r="H40" s="48" t="n">
        <x:v>0.12233901314833459</x:v>
      </x:c>
      <x:c r="I40" s="48" t="n">
        <x:v>0.5284090909090909</x:v>
      </x:c>
    </x:row>
    <x:row r="41">
      <x:c r="A41" s="16" t="str">
        <x:v>North Africa</x:v>
      </x:c>
      <x:c r="B41" s="16" t="n">
        <x:v>3232</x:v>
      </x:c>
      <x:c r="C41" s="16" t="n">
        <x:v>1064</x:v>
      </x:c>
      <x:c r="D41" s="46" t="n">
        <x:v>634752.21</x:v>
      </x:c>
      <x:c r="E41" s="46" t="n">
        <x:v>572241.96</x:v>
      </x:c>
      <x:c r="F41" s="46" t="n">
        <x:v>64599.86</x:v>
      </x:c>
      <x:c r="G41" s="46" t="n">
        <x:v>596.57</x:v>
      </x:c>
      <x:c r="H41" s="48" t="n">
        <x:v>0.11288906531775475</x:v>
      </x:c>
      <x:c r="I41" s="48" t="n">
        <x:v>0.5451732673267327</x:v>
      </x:c>
    </x:row>
    <x:row r="42">
      <x:c r="A42" s="16" t="str">
        <x:v>East Africa</x:v>
      </x:c>
      <x:c r="B42" s="16" t="n">
        <x:v>1852</x:v>
      </x:c>
      <x:c r="C42" s="16" t="n">
        <x:v>613</x:v>
      </x:c>
      <x:c r="D42" s="46" t="n">
        <x:v>376234.89</x:v>
      </x:c>
      <x:c r="E42" s="46" t="n">
        <x:v>338054.31</x:v>
      </x:c>
      <x:c r="F42" s="46" t="n">
        <x:v>43167.73</x:v>
      </x:c>
      <x:c r="G42" s="46" t="n">
        <x:v>613.76</x:v>
      </x:c>
      <x:c r="H42" s="48" t="n">
        <x:v>0.12769465947646105</x:v>
      </x:c>
      <x:c r="I42" s="48" t="n">
        <x:v>0.5593952483801296</x:v>
      </x:c>
    </x:row>
    <x:row r="43">
      <x:c r="A43" s="16" t="str">
        <x:v>Central Africa</x:v>
      </x:c>
      <x:c r="B43" s="16" t="n">
        <x:v>1677</x:v>
      </x:c>
      <x:c r="C43" s="16" t="n">
        <x:v>556</x:v>
      </x:c>
      <x:c r="D43" s="46" t="n">
        <x:v>327263.01</x:v>
      </x:c>
      <x:c r="E43" s="46" t="n">
        <x:v>292912.56</x:v>
      </x:c>
      <x:c r="F43" s="46" t="n">
        <x:v>33447.27</x:v>
      </x:c>
      <x:c r="G43" s="46" t="n">
        <x:v>588.6</x:v>
      </x:c>
      <x:c r="H43" s="48" t="n">
        <x:v>0.11418858242200333</x:v>
      </x:c>
      <x:c r="I43" s="48" t="n">
        <x:v>0.5796064400715564</x:v>
      </x:c>
    </x:row>
    <x:row r="44">
      <x:c r="A44" s="16" t="str">
        <x:v>Southern Africa</x:v>
      </x:c>
      <x:c r="B44" s="16" t="n">
        <x:v>1157</x:v>
      </x:c>
      <x:c r="C44" s="16" t="n">
        <x:v>398</x:v>
      </x:c>
      <x:c r="D44" s="46" t="n">
        <x:v>228251.59</x:v>
      </x:c>
      <x:c r="E44" s="46" t="n">
        <x:v>204302.52</x:v>
      </x:c>
      <x:c r="F44" s="46" t="n">
        <x:v>30826.05</x:v>
      </x:c>
      <x:c r="G44" s="46" t="n">
        <x:v>573.5</x:v>
      </x:c>
      <x:c r="H44" s="48" t="n">
        <x:v>0.15088433564108755</x:v>
      </x:c>
      <x:c r="I44" s="48" t="n">
        <x:v>0.533275713050994</x:v>
      </x:c>
    </x:row>
    <x:row r="45">
      <x:c r="A45" s="16" t="str">
        <x:v>Canada</x:v>
      </x:c>
      <x:c r="B45" s="16" t="n">
        <x:v>959</x:v>
      </x:c>
      <x:c r="C45" s="16" t="n">
        <x:v>309</x:v>
      </x:c>
      <x:c r="D45" s="46" t="n">
        <x:v>186861.04</x:v>
      </x:c>
      <x:c r="E45" s="46" t="n">
        <x:v>168257.42</x:v>
      </x:c>
      <x:c r="F45" s="46" t="n">
        <x:v>23900.71</x:v>
      </x:c>
      <x:c r="G45" s="46" t="n">
        <x:v>604.73</x:v>
      </x:c>
      <x:c r="H45" s="48" t="n">
        <x:v>0.14204847548476612</x:v>
      </x:c>
      <x:c r="I45" s="48" t="n">
        <x:v>0.4880083420229406</x:v>
      </x:c>
    </x:row>
    <x:row r="46">
      <x:c r="A46" s="16" t="str">
        <x:v>Central Asia</x:v>
      </x:c>
      <x:c r="B46" s="16" t="n">
        <x:v>553</x:v>
      </x:c>
      <x:c r="C46" s="16" t="n">
        <x:v>184</x:v>
      </x:c>
      <x:c r="D46" s="46" t="n">
        <x:v>109839.93</x:v>
      </x:c>
      <x:c r="E46" s="46" t="n">
        <x:v>97953.69</x:v>
      </x:c>
      <x:c r="F46" s="46" t="n">
        <x:v>13045.28</x:v>
      </x:c>
      <x:c r="G46" s="46" t="n">
        <x:v>596.96</x:v>
      </x:c>
      <x:c r="H46" s="48" t="n">
        <x:v>0.13317803545736767</x:v>
      </x:c>
      <x:c r="I46" s="48" t="n">
        <x:v>0.5533453887884268</x:v>
      </x:c>
    </x:row>
  </x:sheetData>
  <x:pageMargins left="0.7" right="0.7" top="0.75" bottom="0.75" header="0.3" footer="0.3"/>
  <x:tableParts count="3">
    <x:tablePart xmlns:r="http://schemas.openxmlformats.org/officeDocument/2006/relationships" r:id="Rcae82bcc8ad845ac"/>
    <x:tablePart xmlns:r="http://schemas.openxmlformats.org/officeDocument/2006/relationships" r:id="R79d19e9ae0c34db6"/>
    <x:tablePart xmlns:r="http://schemas.openxmlformats.org/officeDocument/2006/relationships" r:id="Re93c49a8775f4ed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</x:cols>
  <x:sheetData>
    <x:row r="2">
      <x:c r="A2" s="21" t="str">
        <x:v>Shipping and Delivery Performance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3">
      <x:c r="A3" s="22" t="str">
        <x:v>Order-grain shipping metrics avoid line-count weighting</x:v>
      </x:c>
    </x:row>
    <x:row r="5">
      <x:c r="A5" s="43" t="str">
        <x:v>Shipping modes</x:v>
      </x:c>
      <x:c r="B5" s="43"/>
      <x:c r="C5" s="43"/>
      <x:c r="D5" s="43"/>
      <x:c r="E5" s="43"/>
      <x:c r="F5" s="43"/>
      <x:c r="G5" s="43"/>
      <x:c r="H5" s="43"/>
      <x:c r="I5" s="43"/>
      <x:c r="J5" s="43"/>
      <x:c r="K5" s="43"/>
      <x:c r="L5" s="43"/>
      <x:c r="M5" s="43"/>
      <x:c r="N5" s="43"/>
    </x:row>
    <x:row r="6">
      <x:c r="A6" s="12" t="str">
        <x:v>shipping_mode</x:v>
      </x:c>
      <x:c r="B6" s="13" t="str">
        <x:v>orders</x:v>
      </x:c>
      <x:c r="C6" s="13" t="str">
        <x:v>gross_sales</x:v>
      </x:c>
      <x:c r="D6" s="13" t="str">
        <x:v>net_sales</x:v>
      </x:c>
      <x:c r="E6" s="13" t="str">
        <x:v>profit</x:v>
      </x:c>
      <x:c r="F6" s="13" t="str">
        <x:v>late_orders</x:v>
      </x:c>
      <x:c r="G6" s="13" t="str">
        <x:v>avg_actual_shipping_days</x:v>
      </x:c>
      <x:c r="H6" s="13" t="str">
        <x:v>avg_scheduled_shipping_days</x:v>
      </x:c>
      <x:c r="I6" s="13" t="str">
        <x:v>avg_shipping_variance_days</x:v>
      </x:c>
      <x:c r="J6" s="13" t="str">
        <x:v>late_delivery_rate_order</x:v>
      </x:c>
      <x:c r="K6" s="13" t="str">
        <x:v>gross_aov</x:v>
      </x:c>
      <x:c r="L6" s="13" t="str">
        <x:v>net_aov</x:v>
      </x:c>
      <x:c r="M6" s="14" t="str">
        <x:v>profit_margin_net</x:v>
      </x:c>
    </x:row>
    <x:row r="7">
      <x:c r="A7" s="15" t="str">
        <x:v>First Class</x:v>
      </x:c>
      <x:c r="B7" s="15" t="n">
        <x:v>10079</x:v>
      </x:c>
      <x:c r="C7" s="45" t="n">
        <x:v>5674369.65</x:v>
      </x:c>
      <x:c r="D7" s="45" t="n">
        <x:v>5100451.02</x:v>
      </x:c>
      <x:c r="E7" s="45" t="n">
        <x:v>643121.92</x:v>
      </x:c>
      <x:c r="F7" s="15" t="n">
        <x:v>9602</x:v>
      </x:c>
      <x:c r="G7" s="49" t="n">
        <x:v>2</x:v>
      </x:c>
      <x:c r="H7" s="49" t="n">
        <x:v>1</x:v>
      </x:c>
      <x:c r="I7" s="49" t="n">
        <x:v>1</x:v>
      </x:c>
      <x:c r="J7" s="47" t="n">
        <x:v>0.9526738763766247</x:v>
      </x:c>
      <x:c r="K7" s="45" t="n">
        <x:v>562.99</x:v>
      </x:c>
      <x:c r="L7" s="45" t="n">
        <x:v>506.05</x:v>
      </x:c>
      <x:c r="M7" s="47" t="n">
        <x:v>0.126091186343752</x:v>
      </x:c>
    </x:row>
    <x:row r="8">
      <x:c r="A8" s="16" t="str">
        <x:v>Second Class</x:v>
      </x:c>
      <x:c r="B8" s="16" t="n">
        <x:v>12778</x:v>
      </x:c>
      <x:c r="C8" s="46" t="n">
        <x:v>7145444.68</x:v>
      </x:c>
      <x:c r="D8" s="46" t="n">
        <x:v>6416528.47</x:v>
      </x:c>
      <x:c r="E8" s="46" t="n">
        <x:v>750308.17</x:v>
      </x:c>
      <x:c r="F8" s="16" t="n">
        <x:v>9803</x:v>
      </x:c>
      <x:c r="G8" s="50" t="n">
        <x:v>4.001565190170606</x:v>
      </x:c>
      <x:c r="H8" s="50" t="n">
        <x:v>2</x:v>
      </x:c>
      <x:c r="I8" s="50" t="n">
        <x:v>2.0015651901706057</x:v>
      </x:c>
      <x:c r="J8" s="48" t="n">
        <x:v>0.7671779621223979</x:v>
      </x:c>
      <x:c r="K8" s="46" t="n">
        <x:v>559.2</x:v>
      </x:c>
      <x:c r="L8" s="46" t="n">
        <x:v>502.15</x:v>
      </x:c>
      <x:c r="M8" s="48" t="n">
        <x:v>0.11693366179360225</x:v>
      </x:c>
    </x:row>
    <x:row r="9">
      <x:c r="A9" s="16" t="str">
        <x:v>Same Day</x:v>
      </x:c>
      <x:c r="B9" s="16" t="n">
        <x:v>3571</x:v>
      </x:c>
      <x:c r="C9" s="46" t="n">
        <x:v>1942528.52</x:v>
      </x:c>
      <x:c r="D9" s="46" t="n">
        <x:v>1745201.51</x:v>
      </x:c>
      <x:c r="E9" s="46" t="n">
        <x:v>203018.43</x:v>
      </x:c>
      <x:c r="F9" s="16" t="n">
        <x:v>1648</x:v>
      </x:c>
      <x:c r="G9" s="50" t="n">
        <x:v>0.4836180341640997</x:v>
      </x:c>
      <x:c r="H9" s="50" t="n">
        <x:v>0</x:v>
      </x:c>
      <x:c r="I9" s="50" t="n">
        <x:v>0.4836180341640997</x:v>
      </x:c>
      <x:c r="J9" s="48" t="n">
        <x:v>0.4614953794455335</x:v>
      </x:c>
      <x:c r="K9" s="46" t="n">
        <x:v>543.97</x:v>
      </x:c>
      <x:c r="L9" s="46" t="n">
        <x:v>488.72</x:v>
      </x:c>
      <x:c r="M9" s="48" t="n">
        <x:v>0.1163295062700238</x:v>
      </x:c>
    </x:row>
    <x:row r="10">
      <x:c r="A10" s="16" t="str">
        <x:v>Standard Class</x:v>
      </x:c>
      <x:c r="B10" s="16" t="n">
        <x:v>39324</x:v>
      </x:c>
      <x:c r="C10" s="46" t="n">
        <x:v>22022391.46</x:v>
      </x:c>
      <x:c r="D10" s="46" t="n">
        <x:v>19792221.04</x:v>
      </x:c>
      <x:c r="E10" s="46" t="n">
        <x:v>2370454.45</x:v>
      </x:c>
      <x:c r="F10" s="16" t="n">
        <x:v>14995</x:v>
      </x:c>
      <x:c r="G10" s="50" t="n">
        <x:v>3.9968975689146578</x:v>
      </x:c>
      <x:c r="H10" s="50" t="n">
        <x:v>4</x:v>
      </x:c>
      <x:c r="I10" s="50" t="n">
        <x:v>-0.0031024310853422846</x:v>
      </x:c>
      <x:c r="J10" s="48" t="n">
        <x:v>0.3813192961041603</x:v>
      </x:c>
      <x:c r="K10" s="46" t="n">
        <x:v>560.02</x:v>
      </x:c>
      <x:c r="L10" s="46" t="n">
        <x:v>503.31</x:v>
      </x:c>
      <x:c r="M10" s="48" t="n">
        <x:v>0.11976697537933319</x:v>
      </x:c>
    </x:row>
    <x:row r="14">
      <x:c r="A14" s="43" t="str">
        <x:v>Delivery status</x:v>
      </x:c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43"/>
      <x:c r="M14" s="43"/>
      <x:c r="N14" s="43"/>
    </x:row>
    <x:row r="15">
      <x:c r="A15" s="12" t="str">
        <x:v>delivery_status</x:v>
      </x:c>
      <x:c r="B15" s="13" t="str">
        <x:v>orders</x:v>
      </x:c>
      <x:c r="C15" s="13" t="str">
        <x:v>gross_sales</x:v>
      </x:c>
      <x:c r="D15" s="13" t="str">
        <x:v>net_sales</x:v>
      </x:c>
      <x:c r="E15" s="13" t="str">
        <x:v>profit</x:v>
      </x:c>
      <x:c r="F15" s="13" t="str">
        <x:v>late_orders</x:v>
      </x:c>
      <x:c r="G15" s="13" t="str">
        <x:v>avg_actual_shipping_days</x:v>
      </x:c>
      <x:c r="H15" s="13" t="str">
        <x:v>avg_scheduled_shipping_days</x:v>
      </x:c>
      <x:c r="I15" s="13" t="str">
        <x:v>avg_shipping_variance_days</x:v>
      </x:c>
      <x:c r="J15" s="13" t="str">
        <x:v>late_delivery_rate_order</x:v>
      </x:c>
      <x:c r="K15" s="13" t="str">
        <x:v>gross_aov</x:v>
      </x:c>
      <x:c r="L15" s="13" t="str">
        <x:v>net_aov</x:v>
      </x:c>
      <x:c r="M15" s="14" t="str">
        <x:v>profit_margin_net</x:v>
      </x:c>
    </x:row>
    <x:row r="16">
      <x:c r="A16" s="15" t="str">
        <x:v>Advance shipping</x:v>
      </x:c>
      <x:c r="B16" s="15" t="n">
        <x:v>15127</x:v>
      </x:c>
      <x:c r="C16" s="45" t="n">
        <x:v>8518007.73</x:v>
      </x:c>
      <x:c r="D16" s="45" t="n">
        <x:v>7656338.67</x:v>
      </x:c>
      <x:c r="E16" s="45" t="n">
        <x:v>935225.28</x:v>
      </x:c>
      <x:c r="F16" s="15" t="n">
        <x:v>0</x:v>
      </x:c>
      <x:c r="G16" s="49" t="n">
        <x:v>2.4969260263105704</x:v>
      </x:c>
      <x:c r="H16" s="49" t="n">
        <x:v>4</x:v>
      </x:c>
      <x:c r="I16" s="49" t="n">
        <x:v>-1.5030739736894294</x:v>
      </x:c>
      <x:c r="J16" s="47" t="n">
        <x:v>0</x:v>
      </x:c>
      <x:c r="K16" s="45" t="n">
        <x:v>563.1</x:v>
      </x:c>
      <x:c r="L16" s="45" t="n">
        <x:v>506.14</x:v>
      </x:c>
      <x:c r="M16" s="47" t="n">
        <x:v>0.12215045863429655</x:v>
      </x:c>
    </x:row>
    <x:row r="17">
      <x:c r="A17" s="16" t="str">
        <x:v>Late delivery</x:v>
      </x:c>
      <x:c r="B17" s="16" t="n">
        <x:v>36048</x:v>
      </x:c>
      <x:c r="C17" s="46" t="n">
        <x:v>20126394.88</x:v>
      </x:c>
      <x:c r="D17" s="46" t="n">
        <x:v>18082555.11</x:v>
      </x:c>
      <x:c r="E17" s="46" t="n">
        <x:v>2140051.68</x:v>
      </x:c>
      <x:c r="F17" s="16" t="n">
        <x:v>36048</x:v>
      </x:c>
      <x:c r="G17" s="50" t="n">
        <x:v>4.092265867731913</x:v>
      </x:c>
      <x:c r="H17" s="50" t="n">
        <x:v>2.474145583666223</x:v>
      </x:c>
      <x:c r="I17" s="50" t="n">
        <x:v>1.61812028406569</x:v>
      </x:c>
      <x:c r="J17" s="48" t="n">
        <x:v>1</x:v>
      </x:c>
      <x:c r="K17" s="46" t="n">
        <x:v>558.32</x:v>
      </x:c>
      <x:c r="L17" s="46" t="n">
        <x:v>501.62</x:v>
      </x:c>
      <x:c r="M17" s="48" t="n">
        <x:v>0.11834896489913146</x:v>
      </x:c>
    </x:row>
    <x:row r="18">
      <x:c r="A18" s="16" t="str">
        <x:v>Shipping canceled</x:v>
      </x:c>
      <x:c r="B18" s="16" t="n">
        <x:v>2855</x:v>
      </x:c>
      <x:c r="C18" s="46" t="n">
        <x:v>1570305.33</x:v>
      </x:c>
      <x:c r="D18" s="46" t="n">
        <x:v>1409737.29</x:v>
      </x:c>
      <x:c r="E18" s="46" t="n">
        <x:v>160482.34</x:v>
      </x:c>
      <x:c r="F18" s="16" t="n">
        <x:v>0</x:v>
      </x:c>
      <x:c r="G18" s="50" t="n">
        <x:v>3.487215411558669</x:v>
      </x:c>
      <x:c r="H18" s="50" t="n">
        <x:v>2.903327495621716</x:v>
      </x:c>
      <x:c r="I18" s="50" t="n">
        <x:v>0.5838879159369527</x:v>
      </x:c>
      <x:c r="J18" s="48" t="n">
        <x:v>0</x:v>
      </x:c>
      <x:c r="K18" s="46" t="n">
        <x:v>550.02</x:v>
      </x:c>
      <x:c r="L18" s="46" t="n">
        <x:v>493.78</x:v>
      </x:c>
      <x:c r="M18" s="48" t="n">
        <x:v>0.11383847269869693</x:v>
      </x:c>
    </x:row>
    <x:row r="19">
      <x:c r="A19" s="16" t="str">
        <x:v>Shipping on time</x:v>
      </x:c>
      <x:c r="B19" s="16" t="n">
        <x:v>11722</x:v>
      </x:c>
      <x:c r="C19" s="46" t="n">
        <x:v>6570026.37</x:v>
      </x:c>
      <x:c r="D19" s="46" t="n">
        <x:v>5905770.97</x:v>
      </x:c>
      <x:c r="E19" s="46" t="n">
        <x:v>731143.67</x:v>
      </x:c>
      <x:c r="F19" s="16" t="n">
        <x:v>0</x:v>
      </x:c>
      <x:c r="G19" s="50" t="n">
        <x:v>2.9812318716942503</x:v>
      </x:c>
      <x:c r="H19" s="50" t="n">
        <x:v>2.9812318716942503</x:v>
      </x:c>
      <x:c r="I19" s="50" t="n">
        <x:v>0</x:v>
      </x:c>
      <x:c r="J19" s="48" t="n">
        <x:v>0</x:v>
      </x:c>
      <x:c r="K19" s="46" t="n">
        <x:v>560.49</x:v>
      </x:c>
      <x:c r="L19" s="46" t="n">
        <x:v>503.82</x:v>
      </x:c>
      <x:c r="M19" s="48" t="n">
        <x:v>0.1238015618475635</x:v>
      </x:c>
    </x:row>
  </x:sheetData>
  <x:conditionalFormatting sqref="I7:I10">
    <x:cfRule type="cellIs" dxfId="0" priority="1" operator="greaterThan">
      <x:formula>0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1ace5775a1a94e46"/>
    <x:tablePart xmlns:r="http://schemas.openxmlformats.org/officeDocument/2006/relationships" r:id="R412b2f505c9b4ac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3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38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2">
      <x:c r="A2" s="21" t="str">
        <x:v>Product and Category Performance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3">
      <x:c r="A3" s="22" t="str">
        <x:v>Rankings use gross sales; profitability uses net sales as the denominator</x:v>
      </x:c>
    </x:row>
    <x:row r="5">
      <x:c r="A5" s="43" t="str">
        <x:v>Top 15 products by gross sales</x:v>
      </x:c>
      <x:c r="B5" s="43"/>
      <x:c r="C5" s="43"/>
      <x:c r="D5" s="43"/>
      <x:c r="E5" s="43"/>
      <x:c r="F5" s="43"/>
      <x:c r="G5" s="43"/>
      <x:c r="H5" s="43"/>
      <x:c r="I5" s="43"/>
      <x:c r="J5" s="43"/>
      <x:c r="K5" s="43"/>
      <x:c r="M5" s="43" t="str">
        <x:v>Bottom 10 products by profit</x:v>
      </x:c>
      <x:c r="N5" s="43"/>
      <x:c r="O5" s="43"/>
      <x:c r="P5" s="43"/>
      <x:c r="Q5" s="43"/>
      <x:c r="R5" s="43"/>
      <x:c r="S5" s="43"/>
      <x:c r="T5" s="43"/>
      <x:c r="U5" s="43"/>
      <x:c r="V5" s="43"/>
      <x:c r="W5" s="43"/>
    </x:row>
    <x:row r="6">
      <x:c r="A6" s="12" t="str">
        <x:v>product_id</x:v>
      </x:c>
      <x:c r="B6" s="13" t="str">
        <x:v>product_name</x:v>
      </x:c>
      <x:c r="C6" s="13" t="str">
        <x:v>category_name</x:v>
      </x:c>
      <x:c r="D6" s="13" t="str">
        <x:v>records</x:v>
      </x:c>
      <x:c r="E6" s="13" t="str">
        <x:v>orders</x:v>
      </x:c>
      <x:c r="F6" s="13" t="str">
        <x:v>units</x:v>
      </x:c>
      <x:c r="G6" s="13" t="str">
        <x:v>gross_sales</x:v>
      </x:c>
      <x:c r="H6" s="13" t="str">
        <x:v>net_sales</x:v>
      </x:c>
      <x:c r="I6" s="13" t="str">
        <x:v>profit</x:v>
      </x:c>
      <x:c r="J6" s="13" t="str">
        <x:v>profit_margin_net</x:v>
      </x:c>
      <x:c r="K6" s="14" t="str">
        <x:v>late_delivery_rate_row</x:v>
      </x:c>
      <x:c r="M6" s="12" t="str">
        <x:v>product_id</x:v>
      </x:c>
      <x:c r="N6" s="13" t="str">
        <x:v>product_name</x:v>
      </x:c>
      <x:c r="O6" s="13" t="str">
        <x:v>category_name</x:v>
      </x:c>
      <x:c r="P6" s="13" t="str">
        <x:v>records</x:v>
      </x:c>
      <x:c r="Q6" s="13" t="str">
        <x:v>orders</x:v>
      </x:c>
      <x:c r="R6" s="13" t="str">
        <x:v>units</x:v>
      </x:c>
      <x:c r="S6" s="13" t="str">
        <x:v>gross_sales</x:v>
      </x:c>
      <x:c r="T6" s="13" t="str">
        <x:v>net_sales</x:v>
      </x:c>
      <x:c r="U6" s="13" t="str">
        <x:v>profit</x:v>
      </x:c>
      <x:c r="V6" s="13" t="str">
        <x:v>profit_margin_net</x:v>
      </x:c>
      <x:c r="W6" s="14" t="str">
        <x:v>late_delivery_rate_row</x:v>
      </x:c>
    </x:row>
    <x:row r="7">
      <x:c r="A7" s="15" t="n">
        <x:v>1004</x:v>
      </x:c>
      <x:c r="B7" s="15" t="str">
        <x:v>Field &amp; Stream Sportsman 16 Gun Fire Safe</x:v>
      </x:c>
      <x:c r="C7" s="15" t="str">
        <x:v>Fishing</x:v>
      </x:c>
      <x:c r="D7" s="15" t="n">
        <x:v>17325</x:v>
      </x:c>
      <x:c r="E7" s="15" t="n">
        <x:v>15164</x:v>
      </x:c>
      <x:c r="F7" s="15" t="n">
        <x:v>17325</x:v>
      </x:c>
      <x:c r="G7" s="45" t="n">
        <x:v>6929653.5</x:v>
      </x:c>
      <x:c r="H7" s="45" t="n">
        <x:v>6226935.12</x:v>
      </x:c>
      <x:c r="I7" s="45" t="n">
        <x:v>756220.76</x:v>
      </x:c>
      <x:c r="J7" s="47" t="n">
        <x:v>0.1214434943397965</x:v>
      </x:c>
      <x:c r="K7" s="47" t="n">
        <x:v>0.5492640692640692</x:v>
      </x:c>
      <x:c r="M7" s="15" t="n">
        <x:v>208</x:v>
      </x:c>
      <x:c r="N7" s="15" t="str">
        <x:v>SOLE E35 Elliptical</x:v>
      </x:c>
      <x:c r="O7" s="15" t="str">
        <x:v>Strength Training</x:v>
      </x:c>
      <x:c r="P7" s="15" t="n">
        <x:v>15</x:v>
      </x:c>
      <x:c r="Q7" s="15" t="n">
        <x:v>15</x:v>
      </x:c>
      <x:c r="R7" s="15" t="n">
        <x:v>15</x:v>
      </x:c>
      <x:c r="S7" s="45" t="n">
        <x:v>29999.85</x:v>
      </x:c>
      <x:c r="T7" s="45" t="n">
        <x:v>26409.85</x:v>
      </x:c>
      <x:c r="U7" s="45" t="n">
        <x:v>-965.12</x:v>
      </x:c>
      <x:c r="V7" s="47" t="n">
        <x:v>-0.0365439409917133</x:v>
      </x:c>
      <x:c r="W7" s="47" t="n">
        <x:v>0.4</x:v>
      </x:c>
    </x:row>
    <x:row r="8">
      <x:c r="A8" s="16" t="n">
        <x:v>365</x:v>
      </x:c>
      <x:c r="B8" s="16" t="str">
        <x:v>Perfect Fitness Perfect Rip Deck</x:v>
      </x:c>
      <x:c r="C8" s="16" t="str">
        <x:v>Cleats</x:v>
      </x:c>
      <x:c r="D8" s="16" t="n">
        <x:v>24515</x:v>
      </x:c>
      <x:c r="E8" s="16" t="n">
        <x:v>20359</x:v>
      </x:c>
      <x:c r="F8" s="16" t="n">
        <x:v>73698</x:v>
      </x:c>
      <x:c r="G8" s="46" t="n">
        <x:v>4421143.02</x:v>
      </x:c>
      <x:c r="H8" s="46" t="n">
        <x:v>3973180.31</x:v>
      </x:c>
      <x:c r="I8" s="46" t="n">
        <x:v>493828.3</x:v>
      </x:c>
      <x:c r="J8" s="48" t="n">
        <x:v>0.1242904327188715</x:v>
      </x:c>
      <x:c r="K8" s="48" t="n">
        <x:v>0.5495818886396084</x:v>
      </x:c>
      <x:c r="M8" s="16" t="n">
        <x:v>860</x:v>
      </x:c>
      <x:c r="N8" s="16" t="str">
        <x:v>Bushnell Pro X7 Jolt Slope Rangefinder</x:v>
      </x:c>
      <x:c r="O8" s="16" t="str">
        <x:v>Kids' Golf Clubs</x:v>
      </x:c>
      <x:c r="P8" s="16" t="n">
        <x:v>11</x:v>
      </x:c>
      <x:c r="Q8" s="16" t="n">
        <x:v>8</x:v>
      </x:c>
      <x:c r="R8" s="16" t="n">
        <x:v>11</x:v>
      </x:c>
      <x:c r="S8" s="46" t="n">
        <x:v>6599.89</x:v>
      </x:c>
      <x:c r="T8" s="46" t="n">
        <x:v>6062.89</x:v>
      </x:c>
      <x:c r="U8" s="46" t="n">
        <x:v>-255.95</x:v>
      </x:c>
      <x:c r="V8" s="48" t="n">
        <x:v>-0.04221584096033409</x:v>
      </x:c>
      <x:c r="W8" s="48" t="n">
        <x:v>0.5454545454545454</x:v>
      </x:c>
    </x:row>
    <x:row r="9">
      <x:c r="A9" s="16" t="n">
        <x:v>957</x:v>
      </x:c>
      <x:c r="B9" s="16" t="str">
        <x:v>Diamondback Women's Serene Classic Comfort Bi</x:v>
      </x:c>
      <x:c r="C9" s="16" t="str">
        <x:v>Camping &amp; Hiking</x:v>
      </x:c>
      <x:c r="D9" s="16" t="n">
        <x:v>13729</x:v>
      </x:c>
      <x:c r="E9" s="16" t="n">
        <x:v>12299</x:v>
      </x:c>
      <x:c r="F9" s="16" t="n">
        <x:v>13729</x:v>
      </x:c>
      <x:c r="G9" s="46" t="n">
        <x:v>4118425.42</x:v>
      </x:c>
      <x:c r="H9" s="46" t="n">
        <x:v>3700783.54</x:v>
      </x:c>
      <x:c r="I9" s="46" t="n">
        <x:v>427455.57</x:v>
      </x:c>
      <x:c r="J9" s="48" t="n">
        <x:v>0.11550407241597276</x:v>
      </x:c>
      <x:c r="K9" s="48" t="n">
        <x:v>0.5453419768373516</x:v>
      </x:c>
      <x:c r="M9" s="16" t="n">
        <x:v>60</x:v>
      </x:c>
      <x:c r="N9" s="16" t="str">
        <x:v>SOLE E25 Elliptical</x:v>
      </x:c>
      <x:c r="O9" s="16" t="str">
        <x:v>Basketball</x:v>
      </x:c>
      <x:c r="P9" s="16" t="n">
        <x:v>10</x:v>
      </x:c>
      <x:c r="Q9" s="16" t="n">
        <x:v>10</x:v>
      </x:c>
      <x:c r="R9" s="16" t="n">
        <x:v>10</x:v>
      </x:c>
      <x:c r="S9" s="46" t="n">
        <x:v>9999.9</x:v>
      </x:c>
      <x:c r="T9" s="46" t="n">
        <x:v>9414.9</x:v>
      </x:c>
      <x:c r="U9" s="46" t="n">
        <x:v>-169.56</x:v>
      </x:c>
      <x:c r="V9" s="48" t="n">
        <x:v>-0.018009750501864086</x:v>
      </x:c>
      <x:c r="W9" s="48" t="n">
        <x:v>0.7</x:v>
      </x:c>
    </x:row>
    <x:row r="10">
      <x:c r="A10" s="16" t="n">
        <x:v>191</x:v>
      </x:c>
      <x:c r="B10" s="16" t="str">
        <x:v>Nike Men's Free 5.0+ Running Shoe</x:v>
      </x:c>
      <x:c r="C10" s="16" t="str">
        <x:v>Cardio Equipment</x:v>
      </x:c>
      <x:c r="D10" s="16" t="n">
        <x:v>12169</x:v>
      </x:c>
      <x:c r="E10" s="16" t="n">
        <x:v>11092</x:v>
      </x:c>
      <x:c r="F10" s="16" t="n">
        <x:v>36680</x:v>
      </x:c>
      <x:c r="G10" s="46" t="n">
        <x:v>3667633.2</x:v>
      </x:c>
      <x:c r="H10" s="46" t="n">
        <x:v>3295693.32</x:v>
      </x:c>
      <x:c r="I10" s="46" t="n">
        <x:v>379915.82</x:v>
      </x:c>
      <x:c r="J10" s="48" t="n">
        <x:v>0.11527644811320005</x:v>
      </x:c>
      <x:c r="K10" s="48" t="n">
        <x:v>0.5447448434546799</x:v>
      </x:c>
      <x:c r="M10" s="16" t="n">
        <x:v>203</x:v>
      </x:c>
      <x:c r="N10" s="16" t="str">
        <x:v>GoPro HERO3+ Black Edition Camera</x:v>
      </x:c>
      <x:c r="O10" s="16" t="str">
        <x:v>Strength Training</x:v>
      </x:c>
      <x:c r="P10" s="16" t="n">
        <x:v>32</x:v>
      </x:c>
      <x:c r="Q10" s="16" t="n">
        <x:v>32</x:v>
      </x:c>
      <x:c r="R10" s="16" t="n">
        <x:v>32</x:v>
      </x:c>
      <x:c r="S10" s="46" t="n">
        <x:v>12799.68</x:v>
      </x:c>
      <x:c r="T10" s="46" t="n">
        <x:v>11601.68</x:v>
      </x:c>
      <x:c r="U10" s="46" t="n">
        <x:v>245.63</x:v>
      </x:c>
      <x:c r="V10" s="48" t="n">
        <x:v>0.02117193371994401</x:v>
      </x:c>
      <x:c r="W10" s="48" t="n">
        <x:v>0.65625</x:v>
      </x:c>
    </x:row>
    <x:row r="11">
      <x:c r="A11" s="16" t="n">
        <x:v>502</x:v>
      </x:c>
      <x:c r="B11" s="16" t="str">
        <x:v>Nike Men's Dri-FIT Victory Golf Polo</x:v>
      </x:c>
      <x:c r="C11" s="16" t="str">
        <x:v>Women's Apparel</x:v>
      </x:c>
      <x:c r="D11" s="16" t="n">
        <x:v>21035</x:v>
      </x:c>
      <x:c r="E11" s="16" t="n">
        <x:v>17869</x:v>
      </x:c>
      <x:c r="F11" s="16" t="n">
        <x:v>62956</x:v>
      </x:c>
      <x:c r="G11" s="46" t="n">
        <x:v>3147800</x:v>
      </x:c>
      <x:c r="H11" s="46" t="n">
        <x:v>2828708.5</x:v>
      </x:c>
      <x:c r="I11" s="46" t="n">
        <x:v>350421.03</x:v>
      </x:c>
      <x:c r="J11" s="48" t="n">
        <x:v>0.12388021954188635</x:v>
      </x:c>
      <x:c r="K11" s="48" t="n">
        <x:v>0.5455669122890421</x:v>
      </x:c>
      <x:c r="M11" s="16" t="n">
        <x:v>61</x:v>
      </x:c>
      <x:c r="N11" s="16" t="str">
        <x:v>Diamondback Girls' Clarity 24 Hybrid Bike 201</x:v>
      </x:c>
      <x:c r="O11" s="16" t="str">
        <x:v>Basketball</x:v>
      </x:c>
      <x:c r="P11" s="16" t="n">
        <x:v>28</x:v>
      </x:c>
      <x:c r="Q11" s="16" t="n">
        <x:v>27</x:v>
      </x:c>
      <x:c r="R11" s="16" t="n">
        <x:v>28</x:v>
      </x:c>
      <x:c r="S11" s="46" t="n">
        <x:v>8399.72</x:v>
      </x:c>
      <x:c r="T11" s="46" t="n">
        <x:v>7624.22</x:v>
      </x:c>
      <x:c r="U11" s="46" t="n">
        <x:v>284.42</x:v>
      </x:c>
      <x:c r="V11" s="48" t="n">
        <x:v>0.037304799704100874</x:v>
      </x:c>
      <x:c r="W11" s="48" t="n">
        <x:v>0.42857142857142855</x:v>
      </x:c>
    </x:row>
    <x:row r="12">
      <x:c r="A12" s="16" t="n">
        <x:v>1073</x:v>
      </x:c>
      <x:c r="B12" s="16" t="str">
        <x:v>Pelican Sunstream 100 Kayak</x:v>
      </x:c>
      <x:c r="C12" s="16" t="str">
        <x:v>Water Sports</x:v>
      </x:c>
      <x:c r="D12" s="16" t="n">
        <x:v>15500</x:v>
      </x:c>
      <x:c r="E12" s="16" t="n">
        <x:v>13727</x:v>
      </x:c>
      <x:c r="F12" s="16" t="n">
        <x:v>15500</x:v>
      </x:c>
      <x:c r="G12" s="46" t="n">
        <x:v>3099845</x:v>
      </x:c>
      <x:c r="H12" s="46" t="n">
        <x:v>2785518</x:v>
      </x:c>
      <x:c r="I12" s="46" t="n">
        <x:v>324076.37</x:v>
      </x:c>
      <x:c r="J12" s="48" t="n">
        <x:v>0.11634330490774068</x:v>
      </x:c>
      <x:c r="K12" s="48" t="n">
        <x:v>0.5478709677419354</x:v>
      </x:c>
      <x:c r="M12" s="16" t="n">
        <x:v>311</x:v>
      </x:c>
      <x:c r="N12" s="16" t="str">
        <x:v>Polar Loop Activity Tracker</x:v>
      </x:c>
      <x:c r="O12" s="16" t="str">
        <x:v>Kids' Golf Clubs</x:v>
      </x:c>
      <x:c r="P12" s="16" t="n">
        <x:v>54</x:v>
      </x:c>
      <x:c r="Q12" s="16" t="n">
        <x:v>53</x:v>
      </x:c>
      <x:c r="R12" s="16" t="n">
        <x:v>54</x:v>
      </x:c>
      <x:c r="S12" s="46" t="n">
        <x:v>5937.3</x:v>
      </x:c>
      <x:c r="T12" s="46" t="n">
        <x:v>5335.32</x:v>
      </x:c>
      <x:c r="U12" s="46" t="n">
        <x:v>326.2</x:v>
      </x:c>
      <x:c r="V12" s="48" t="n">
        <x:v>0.061139725452269034</x:v>
      </x:c>
      <x:c r="W12" s="48" t="n">
        <x:v>0.48148148148148145</x:v>
      </x:c>
    </x:row>
    <x:row r="13">
      <x:c r="A13" s="16" t="n">
        <x:v>403</x:v>
      </x:c>
      <x:c r="B13" s="16" t="str">
        <x:v>Nike Men's CJ Elite 2 TD Football Cleat</x:v>
      </x:c>
      <x:c r="C13" s="16" t="str">
        <x:v>Men's Footwear</x:v>
      </x:c>
      <x:c r="D13" s="16" t="n">
        <x:v>22246</x:v>
      </x:c>
      <x:c r="E13" s="16" t="n">
        <x:v>18783</x:v>
      </x:c>
      <x:c r="F13" s="16" t="n">
        <x:v>22246</x:v>
      </x:c>
      <x:c r="G13" s="46" t="n">
        <x:v>2891757.54</x:v>
      </x:c>
      <x:c r="H13" s="46" t="n">
        <x:v>2598494.44</x:v>
      </x:c>
      <x:c r="I13" s="46" t="n">
        <x:v>311902.82</x:v>
      </x:c>
      <x:c r="J13" s="48" t="n">
        <x:v>0.120032129066245</x:v>
      </x:c>
      <x:c r="K13" s="48" t="n">
        <x:v>0.5448619976625011</x:v>
      </x:c>
      <x:c r="M13" s="16" t="n">
        <x:v>705</x:v>
      </x:c>
      <x:c r="N13" s="16" t="str">
        <x:v>Cleveland Golf Women's 588 RTX CB Satin Chrom</x:v>
      </x:c>
      <x:c r="O13" s="16" t="str">
        <x:v>Golf Apparel</x:v>
      </x:c>
      <x:c r="P13" s="16" t="n">
        <x:v>70</x:v>
      </x:c>
      <x:c r="Q13" s="16" t="n">
        <x:v>70</x:v>
      </x:c>
      <x:c r="R13" s="16" t="n">
        <x:v>70</x:v>
      </x:c>
      <x:c r="S13" s="46" t="n">
        <x:v>8399.3</x:v>
      </x:c>
      <x:c r="T13" s="46" t="n">
        <x:v>7538.3</x:v>
      </x:c>
      <x:c r="U13" s="46" t="n">
        <x:v>370.61</x:v>
      </x:c>
      <x:c r="V13" s="48" t="n">
        <x:v>0.04916360452621944</x:v>
      </x:c>
      <x:c r="W13" s="48" t="n">
        <x:v>0.5</x:v>
      </x:c>
    </x:row>
    <x:row r="14">
      <x:c r="A14" s="16" t="n">
        <x:v>1014</x:v>
      </x:c>
      <x:c r="B14" s="16" t="str">
        <x:v>O'Brien Men's Neoprene Life Vest</x:v>
      </x:c>
      <x:c r="C14" s="16" t="str">
        <x:v>Indoor/Outdoor Games</x:v>
      </x:c>
      <x:c r="D14" s="16" t="n">
        <x:v>19298</x:v>
      </x:c>
      <x:c r="E14" s="16" t="n">
        <x:v>16623</x:v>
      </x:c>
      <x:c r="F14" s="16" t="n">
        <x:v>57803</x:v>
      </x:c>
      <x:c r="G14" s="46" t="n">
        <x:v>2888993.94</x:v>
      </x:c>
      <x:c r="H14" s="46" t="n">
        <x:v>2596454.04</x:v>
      </x:c>
      <x:c r="I14" s="46" t="n">
        <x:v>318451.43</x:v>
      </x:c>
      <x:c r="J14" s="48" t="n">
        <x:v>0.12264859115318674</x:v>
      </x:c>
      <x:c r="K14" s="48" t="n">
        <x:v>0.5474660586589284</x:v>
      </x:c>
      <x:c r="M14" s="16" t="n">
        <x:v>1348</x:v>
      </x:c>
      <x:c r="N14" s="16" t="str">
        <x:v>CDs of rock</x:v>
      </x:c>
      <x:c r="O14" s="16" t="str">
        <x:v>CDs</x:v>
      </x:c>
      <x:c r="P14" s="16" t="n">
        <x:v>271</x:v>
      </x:c>
      <x:c r="Q14" s="16" t="n">
        <x:v>271</x:v>
      </x:c>
      <x:c r="R14" s="16" t="n">
        <x:v>271</x:v>
      </x:c>
      <x:c r="S14" s="46" t="n">
        <x:v>3059.59</x:v>
      </x:c>
      <x:c r="T14" s="46" t="n">
        <x:v>2750.03</x:v>
      </x:c>
      <x:c r="U14" s="46" t="n">
        <x:v>383.85</x:v>
      </x:c>
      <x:c r="V14" s="48" t="n">
        <x:v>0.1395802954876856</x:v>
      </x:c>
      <x:c r="W14" s="48" t="n">
        <x:v>0.5202952029520295</x:v>
      </x:c>
    </x:row>
    <x:row r="15">
      <x:c r="A15" s="16" t="n">
        <x:v>627</x:v>
      </x:c>
      <x:c r="B15" s="16" t="str">
        <x:v>Under Armour Girls' Toddler Spine Surge Runni</x:v>
      </x:c>
      <x:c r="C15" s="16" t="str">
        <x:v>Shop By Sport</x:v>
      </x:c>
      <x:c r="D15" s="16" t="n">
        <x:v>10617</x:v>
      </x:c>
      <x:c r="E15" s="16" t="n">
        <x:v>9825</x:v>
      </x:c>
      <x:c r="F15" s="16" t="n">
        <x:v>31735</x:v>
      </x:c>
      <x:c r="G15" s="46" t="n">
        <x:v>1269082.65</x:v>
      </x:c>
      <x:c r="H15" s="46" t="n">
        <x:v>1140770.95</x:v>
      </x:c>
      <x:c r="I15" s="46" t="n">
        <x:v>126278.51</x:v>
      </x:c>
      <x:c r="J15" s="48" t="n">
        <x:v>0.11069576237017606</x:v>
      </x:c>
      <x:c r="K15" s="48" t="n">
        <x:v>0.552415936705284</x:v>
      </x:c>
      <x:c r="M15" s="16" t="n">
        <x:v>303</x:v>
      </x:c>
      <x:c r="N15" s="16" t="str">
        <x:v>Garmin Forerunner 910XT GPS Watch</x:v>
      </x:c>
      <x:c r="O15" s="16" t="str">
        <x:v>Kids' Golf Clubs</x:v>
      </x:c>
      <x:c r="P15" s="16" t="n">
        <x:v>35</x:v>
      </x:c>
      <x:c r="Q15" s="16" t="n">
        <x:v>35</x:v>
      </x:c>
      <x:c r="R15" s="16" t="n">
        <x:v>35</x:v>
      </x:c>
      <x:c r="S15" s="46" t="n">
        <x:v>13999.65</x:v>
      </x:c>
      <x:c r="T15" s="46" t="n">
        <x:v>12593.65</x:v>
      </x:c>
      <x:c r="U15" s="46" t="n">
        <x:v>391.13</x:v>
      </x:c>
      <x:c r="V15" s="48" t="n">
        <x:v>0.03105771559476403</x:v>
      </x:c>
      <x:c r="W15" s="48" t="n">
        <x:v>0.5428571428571428</x:v>
      </x:c>
    </x:row>
    <x:row r="16">
      <x:c r="A16" s="16" t="n">
        <x:v>1351</x:v>
      </x:c>
      <x:c r="B16" s="16" t="str">
        <x:v>Dell Laptop</x:v>
      </x:c>
      <x:c r="C16" s="16" t="str">
        <x:v>Computers</x:v>
      </x:c>
      <x:c r="D16" s="16" t="n">
        <x:v>442</x:v>
      </x:c>
      <x:c r="E16" s="16" t="n">
        <x:v>442</x:v>
      </x:c>
      <x:c r="F16" s="16" t="n">
        <x:v>442</x:v>
      </x:c>
      <x:c r="G16" s="46" t="n">
        <x:v>663000</x:v>
      </x:c>
      <x:c r="H16" s="46" t="n">
        <x:v>595395</x:v>
      </x:c>
      <x:c r="I16" s="46" t="n">
        <x:v>69656.81</x:v>
      </x:c>
      <x:c r="J16" s="48" t="n">
        <x:v>0.11699260155023135</x:v>
      </x:c>
      <x:c r="K16" s="48" t="n">
        <x:v>0.5067873303167421</x:v>
      </x:c>
      <x:c r="M16" s="16" t="n">
        <x:v>127</x:v>
      </x:c>
      <x:c r="N16" s="16" t="str">
        <x:v>Stiga Master Series ST3100 Competition Indoor</x:v>
      </x:c>
      <x:c r="O16" s="16" t="str">
        <x:v>Hockey</x:v>
      </x:c>
      <x:c r="P16" s="16" t="n">
        <x:v>27</x:v>
      </x:c>
      <x:c r="Q16" s="16" t="n">
        <x:v>25</x:v>
      </x:c>
      <x:c r="R16" s="16" t="n">
        <x:v>27</x:v>
      </x:c>
      <x:c r="S16" s="46" t="n">
        <x:v>8909.73</x:v>
      </x:c>
      <x:c r="T16" s="46" t="n">
        <x:v>8154.03</x:v>
      </x:c>
      <x:c r="U16" s="46" t="n">
        <x:v>479.28</x:v>
      </x:c>
      <x:c r="V16" s="48" t="n">
        <x:v>0.058778297357257696</x:v>
      </x:c>
      <x:c r="W16" s="48" t="n">
        <x:v>0.5185185185185185</x:v>
      </x:c>
    </x:row>
    <x:row r="17">
      <x:c r="A17" s="16" t="n">
        <x:v>1349</x:v>
      </x:c>
      <x:c r="B17" s="16" t="str">
        <x:v>Web Camera</x:v>
      </x:c>
      <x:c r="C17" s="16" t="str">
        <x:v>Cameras</x:v>
      </x:c>
      <x:c r="D17" s="16" t="n">
        <x:v>592</x:v>
      </x:c>
      <x:c r="E17" s="16" t="n">
        <x:v>592</x:v>
      </x:c>
      <x:c r="F17" s="16" t="n">
        <x:v>592</x:v>
      </x:c>
      <x:c r="G17" s="46" t="n">
        <x:v>267607.68</x:v>
      </x:c>
      <x:c r="H17" s="46" t="n">
        <x:v>240496.68</x:v>
      </x:c>
      <x:c r="I17" s="46" t="n">
        <x:v>30289.8</x:v>
      </x:c>
      <x:c r="J17" s="48" t="n">
        <x:v>0.12594685298774186</x:v>
      </x:c>
      <x:c r="K17" s="48" t="n">
        <x:v>0.581081081081081</x:v>
      </x:c>
    </x:row>
    <x:row r="18">
      <x:c r="A18" s="16" t="n">
        <x:v>1355</x:v>
      </x:c>
      <x:c r="B18" s="16" t="str">
        <x:v>Lawn mower</x:v>
      </x:c>
      <x:c r="C18" s="16" t="str">
        <x:v>Garden</x:v>
      </x:c>
      <x:c r="D18" s="16" t="n">
        <x:v>484</x:v>
      </x:c>
      <x:c r="E18" s="16" t="n">
        <x:v>484</x:v>
      </x:c>
      <x:c r="F18" s="16" t="n">
        <x:v>484</x:v>
      </x:c>
      <x:c r="G18" s="46" t="n">
        <x:v>257768.72</x:v>
      </x:c>
      <x:c r="H18" s="46" t="n">
        <x:v>231765.46</x:v>
      </x:c>
      <x:c r="I18" s="46" t="n">
        <x:v>33443.01</x:v>
      </x:c>
      <x:c r="J18" s="48" t="n">
        <x:v>0.1442967817551416</x:v>
      </x:c>
      <x:c r="K18" s="48" t="n">
        <x:v>0.5578512396694215</x:v>
      </x:c>
    </x:row>
    <x:row r="19">
      <x:c r="A19" s="16" t="n">
        <x:v>1350</x:v>
      </x:c>
      <x:c r="B19" s="16" t="str">
        <x:v>Children's heaters</x:v>
      </x:c>
      <x:c r="C19" s="16" t="str">
        <x:v>Children's Clothing</x:v>
      </x:c>
      <x:c r="D19" s="16" t="n">
        <x:v>652</x:v>
      </x:c>
      <x:c r="E19" s="16" t="n">
        <x:v>652</x:v>
      </x:c>
      <x:c r="F19" s="16" t="n">
        <x:v>652</x:v>
      </x:c>
      <x:c r="G19" s="46" t="n">
        <x:v>232829.2</x:v>
      </x:c>
      <x:c r="H19" s="46" t="n">
        <x:v>209268.38</x:v>
      </x:c>
      <x:c r="I19" s="46" t="n">
        <x:v>27178.1</x:v>
      </x:c>
      <x:c r="J19" s="48" t="n">
        <x:v>0.12987198543802939</x:v>
      </x:c>
      <x:c r="K19" s="48" t="n">
        <x:v>0.5337423312883436</x:v>
      </x:c>
    </x:row>
    <x:row r="20">
      <x:c r="A20" s="16" t="n">
        <x:v>1353</x:v>
      </x:c>
      <x:c r="B20" s="16" t="str">
        <x:v>Porcelain crafts</x:v>
      </x:c>
      <x:c r="C20" s="16" t="str">
        <x:v>Crafts</x:v>
      </x:c>
      <x:c r="D20" s="16" t="n">
        <x:v>484</x:v>
      </x:c>
      <x:c r="E20" s="16" t="n">
        <x:v>484</x:v>
      </x:c>
      <x:c r="F20" s="16" t="n">
        <x:v>484</x:v>
      </x:c>
      <x:c r="G20" s="46" t="n">
        <x:v>223356.32</x:v>
      </x:c>
      <x:c r="H20" s="46" t="n">
        <x:v>200704.87</x:v>
      </x:c>
      <x:c r="I20" s="46" t="n">
        <x:v>25531.17</x:v>
      </x:c>
      <x:c r="J20" s="48" t="n">
        <x:v>0.12720752615519493</x:v>
      </x:c>
      <x:c r="K20" s="48" t="n">
        <x:v>0.5599173553719008</x:v>
      </x:c>
    </x:row>
    <x:row r="21">
      <x:c r="A21" s="16" t="n">
        <x:v>1363</x:v>
      </x:c>
      <x:c r="B21" s="16" t="str">
        <x:v>Summer dresses</x:v>
      </x:c>
      <x:c r="C21" s="16" t="str">
        <x:v>Women's Clothing</x:v>
      </x:c>
      <x:c r="D21" s="16" t="n">
        <x:v>650</x:v>
      </x:c>
      <x:c r="E21" s="16" t="n">
        <x:v>650</x:v>
      </x:c>
      <x:c r="F21" s="16" t="n">
        <x:v>650</x:v>
      </x:c>
      <x:c r="G21" s="46" t="n">
        <x:v>140283</x:v>
      </x:c>
      <x:c r="H21" s="46" t="n">
        <x:v>126006.93</x:v>
      </x:c>
      <x:c r="I21" s="46" t="n">
        <x:v>19102.85</x:v>
      </x:c>
      <x:c r="J21" s="48" t="n">
        <x:v>0.1516015825478805</x:v>
      </x:c>
      <x:c r="K21" s="48" t="n">
        <x:v>0.5646153846153846</x:v>
      </x:c>
    </x:row>
    <x:row r="25">
      <x:c r="A25" s="43" t="str">
        <x:v>Top 15 categories by gross sales</x:v>
      </x:c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</x:row>
    <x:row r="26">
      <x:c r="A26" s="12" t="str">
        <x:v>category_name</x:v>
      </x:c>
      <x:c r="B26" s="13" t="str">
        <x:v>records</x:v>
      </x:c>
      <x:c r="C26" s="13" t="str">
        <x:v>orders</x:v>
      </x:c>
      <x:c r="D26" s="13" t="str">
        <x:v>units</x:v>
      </x:c>
      <x:c r="E26" s="13" t="str">
        <x:v>gross_sales</x:v>
      </x:c>
      <x:c r="F26" s="13" t="str">
        <x:v>net_sales</x:v>
      </x:c>
      <x:c r="G26" s="13" t="str">
        <x:v>discount</x:v>
      </x:c>
      <x:c r="H26" s="13" t="str">
        <x:v>profit</x:v>
      </x:c>
      <x:c r="I26" s="13" t="str">
        <x:v>gross_aov</x:v>
      </x:c>
      <x:c r="J26" s="13" t="str">
        <x:v>profit_margin_net</x:v>
      </x:c>
      <x:c r="K26" s="14" t="str">
        <x:v>late_delivery_rate_row</x:v>
      </x:c>
    </x:row>
    <x:row r="27">
      <x:c r="A27" s="15" t="str">
        <x:v>Fishing</x:v>
      </x:c>
      <x:c r="B27" s="15" t="n">
        <x:v>17325</x:v>
      </x:c>
      <x:c r="C27" s="15" t="n">
        <x:v>15164</x:v>
      </x:c>
      <x:c r="D27" s="15" t="n">
        <x:v>17325</x:v>
      </x:c>
      <x:c r="E27" s="45" t="n">
        <x:v>6929653.5</x:v>
      </x:c>
      <x:c r="F27" s="45" t="n">
        <x:v>6226935.12</x:v>
      </x:c>
      <x:c r="G27" s="45" t="n">
        <x:v>702728</x:v>
      </x:c>
      <x:c r="H27" s="45" t="n">
        <x:v>756220.76</x:v>
      </x:c>
      <x:c r="I27" s="45" t="n">
        <x:v>456.98</x:v>
      </x:c>
      <x:c r="J27" s="47" t="n">
        <x:v>0.1214434943397965</x:v>
      </x:c>
      <x:c r="K27" s="47" t="n">
        <x:v>0.5492640692640692</x:v>
      </x:c>
    </x:row>
    <x:row r="28">
      <x:c r="A28" s="16" t="str">
        <x:v>Cleats</x:v>
      </x:c>
      <x:c r="B28" s="16" t="n">
        <x:v>24551</x:v>
      </x:c>
      <x:c r="C28" s="16" t="n">
        <x:v>20386</x:v>
      </x:c>
      <x:c r="D28" s="16" t="n">
        <x:v>73734</x:v>
      </x:c>
      <x:c r="E28" s="46" t="n">
        <x:v>4431942.66</x:v>
      </x:c>
      <x:c r="F28" s="46" t="n">
        <x:v>3982856.45</x:v>
      </x:c>
      <x:c r="G28" s="46" t="n">
        <x:v>449091.67</x:v>
      </x:c>
      <x:c r="H28" s="46" t="n">
        <x:v>494636.92</x:v>
      </x:c>
      <x:c r="I28" s="46" t="n">
        <x:v>217.4</x:v>
      </x:c>
      <x:c r="J28" s="48" t="n">
        <x:v>0.12419150080088875</x:v>
      </x:c>
      <x:c r="K28" s="48" t="n">
        <x:v>0.5497128426540671</x:v>
      </x:c>
    </x:row>
    <x:row r="29">
      <x:c r="A29" s="16" t="str">
        <x:v>Camping &amp; Hiking</x:v>
      </x:c>
      <x:c r="B29" s="16" t="n">
        <x:v>13729</x:v>
      </x:c>
      <x:c r="C29" s="16" t="n">
        <x:v>12299</x:v>
      </x:c>
      <x:c r="D29" s="16" t="n">
        <x:v>13729</x:v>
      </x:c>
      <x:c r="E29" s="46" t="n">
        <x:v>4118425.42</x:v>
      </x:c>
      <x:c r="F29" s="46" t="n">
        <x:v>3700783.54</x:v>
      </x:c>
      <x:c r="G29" s="46" t="n">
        <x:v>417649.5</x:v>
      </x:c>
      <x:c r="H29" s="46" t="n">
        <x:v>427455.57</x:v>
      </x:c>
      <x:c r="I29" s="46" t="n">
        <x:v>334.86</x:v>
      </x:c>
      <x:c r="J29" s="48" t="n">
        <x:v>0.11550407241597276</x:v>
      </x:c>
      <x:c r="K29" s="48" t="n">
        <x:v>0.5453419768373516</x:v>
      </x:c>
    </x:row>
    <x:row r="30">
      <x:c r="A30" s="16" t="str">
        <x:v>Cardio Equipment</x:v>
      </x:c>
      <x:c r="B30" s="16" t="n">
        <x:v>12487</x:v>
      </x:c>
      <x:c r="C30" s="16" t="n">
        <x:v>11355</x:v>
      </x:c>
      <x:c r="D30" s="16" t="n">
        <x:v>37587</x:v>
      </x:c>
      <x:c r="E30" s="46" t="n">
        <x:v>3694843.2</x:v>
      </x:c>
      <x:c r="F30" s="46" t="n">
        <x:v>3320250.72</x:v>
      </x:c>
      <x:c r="G30" s="46" t="n">
        <x:v>374595.19</x:v>
      </x:c>
      <x:c r="H30" s="46" t="n">
        <x:v>383011.1</x:v>
      </x:c>
      <x:c r="I30" s="46" t="n">
        <x:v>325.39</x:v>
      </x:c>
      <x:c r="J30" s="48" t="n">
        <x:v>0.11535607768801268</x:v>
      </x:c>
      <x:c r="K30" s="48" t="n">
        <x:v>0.5449667654360535</x:v>
      </x:c>
    </x:row>
    <x:row r="31">
      <x:c r="A31" s="16" t="str">
        <x:v>Women's Apparel</x:v>
      </x:c>
      <x:c r="B31" s="16" t="n">
        <x:v>21035</x:v>
      </x:c>
      <x:c r="C31" s="16" t="n">
        <x:v>17869</x:v>
      </x:c>
      <x:c r="D31" s="16" t="n">
        <x:v>62956</x:v>
      </x:c>
      <x:c r="E31" s="46" t="n">
        <x:v>3147800</x:v>
      </x:c>
      <x:c r="F31" s="46" t="n">
        <x:v>2828708.5</x:v>
      </x:c>
      <x:c r="G31" s="46" t="n">
        <x:v>319091.5</x:v>
      </x:c>
      <x:c r="H31" s="46" t="n">
        <x:v>350421.03</x:v>
      </x:c>
      <x:c r="I31" s="46" t="n">
        <x:v>176.16</x:v>
      </x:c>
      <x:c r="J31" s="48" t="n">
        <x:v>0.12388021954188635</x:v>
      </x:c>
      <x:c r="K31" s="48" t="n">
        <x:v>0.5455669122890421</x:v>
      </x:c>
    </x:row>
    <x:row r="32">
      <x:c r="A32" s="16" t="str">
        <x:v>Water Sports</x:v>
      </x:c>
      <x:c r="B32" s="16" t="n">
        <x:v>15540</x:v>
      </x:c>
      <x:c r="C32" s="16" t="n">
        <x:v>13758</x:v>
      </x:c>
      <x:c r="D32" s="16" t="n">
        <x:v>15540</x:v>
      </x:c>
      <x:c r="E32" s="46" t="n">
        <x:v>3113844.6</x:v>
      </x:c>
      <x:c r="F32" s="46" t="n">
        <x:v>2798044.1</x:v>
      </x:c>
      <x:c r="G32" s="46" t="n">
        <x:v>315800.5</x:v>
      </x:c>
      <x:c r="H32" s="46" t="n">
        <x:v>325146.96</x:v>
      </x:c>
      <x:c r="I32" s="46" t="n">
        <x:v>226.33</x:v>
      </x:c>
      <x:c r="J32" s="48" t="n">
        <x:v>0.11620508768964721</x:v>
      </x:c>
      <x:c r="K32" s="48" t="n">
        <x:v>0.5480694980694981</x:v>
      </x:c>
    </x:row>
    <x:row r="33">
      <x:c r="A33" s="16" t="str">
        <x:v>Men's Footwear</x:v>
      </x:c>
      <x:c r="B33" s="16" t="n">
        <x:v>22246</x:v>
      </x:c>
      <x:c r="C33" s="16" t="n">
        <x:v>18783</x:v>
      </x:c>
      <x:c r="D33" s="16" t="n">
        <x:v>22246</x:v>
      </x:c>
      <x:c r="E33" s="46" t="n">
        <x:v>2891757.54</x:v>
      </x:c>
      <x:c r="F33" s="46" t="n">
        <x:v>2598494.44</x:v>
      </x:c>
      <x:c r="G33" s="46" t="n">
        <x:v>293263.1</x:v>
      </x:c>
      <x:c r="H33" s="46" t="n">
        <x:v>311902.82</x:v>
      </x:c>
      <x:c r="I33" s="46" t="n">
        <x:v>153.96</x:v>
      </x:c>
      <x:c r="J33" s="48" t="n">
        <x:v>0.120032129066245</x:v>
      </x:c>
      <x:c r="K33" s="48" t="n">
        <x:v>0.5448619976625011</x:v>
      </x:c>
    </x:row>
    <x:row r="34">
      <x:c r="A34" s="16" t="str">
        <x:v>Indoor/Outdoor Games</x:v>
      </x:c>
      <x:c r="B34" s="16" t="n">
        <x:v>19298</x:v>
      </x:c>
      <x:c r="C34" s="16" t="n">
        <x:v>16623</x:v>
      </x:c>
      <x:c r="D34" s="16" t="n">
        <x:v>57803</x:v>
      </x:c>
      <x:c r="E34" s="46" t="n">
        <x:v>2888993.94</x:v>
      </x:c>
      <x:c r="F34" s="46" t="n">
        <x:v>2596454.04</x:v>
      </x:c>
      <x:c r="G34" s="46" t="n">
        <x:v>292550.63</x:v>
      </x:c>
      <x:c r="H34" s="46" t="n">
        <x:v>318451.43</x:v>
      </x:c>
      <x:c r="I34" s="46" t="n">
        <x:v>173.79</x:v>
      </x:c>
      <x:c r="J34" s="48" t="n">
        <x:v>0.12264859115318674</x:v>
      </x:c>
      <x:c r="K34" s="48" t="n">
        <x:v>0.5474660586589284</x:v>
      </x:c>
    </x:row>
    <x:row r="35">
      <x:c r="A35" s="16" t="str">
        <x:v>Shop By Sport</x:v>
      </x:c>
      <x:c r="B35" s="16" t="n">
        <x:v>10984</x:v>
      </x:c>
      <x:c r="C35" s="16" t="n">
        <x:v>10136</x:v>
      </x:c>
      <x:c r="D35" s="16" t="n">
        <x:v>32726</x:v>
      </x:c>
      <x:c r="E35" s="46" t="n">
        <x:v>1309522.02</x:v>
      </x:c>
      <x:c r="F35" s="46" t="n">
        <x:v>1177185.62</x:v>
      </x:c>
      <x:c r="G35" s="46" t="n">
        <x:v>132338.73</x:v>
      </x:c>
      <x:c r="H35" s="46" t="n">
        <x:v>129813.96</x:v>
      </x:c>
      <x:c r="I35" s="46" t="n">
        <x:v>129.2</x:v>
      </x:c>
      <x:c r="J35" s="48" t="n">
        <x:v>0.11027484348645035</x:v>
      </x:c>
      <x:c r="K35" s="48" t="n">
        <x:v>0.5515294974508376</x:v>
      </x:c>
    </x:row>
    <x:row r="36">
      <x:c r="A36" s="16" t="str">
        <x:v>Computers</x:v>
      </x:c>
      <x:c r="B36" s="16" t="n">
        <x:v>442</x:v>
      </x:c>
      <x:c r="C36" s="16" t="n">
        <x:v>442</x:v>
      </x:c>
      <x:c r="D36" s="16" t="n">
        <x:v>442</x:v>
      </x:c>
      <x:c r="E36" s="46" t="n">
        <x:v>663000</x:v>
      </x:c>
      <x:c r="F36" s="46" t="n">
        <x:v>595395</x:v>
      </x:c>
      <x:c r="G36" s="46" t="n">
        <x:v>67605</x:v>
      </x:c>
      <x:c r="H36" s="46" t="n">
        <x:v>69656.81</x:v>
      </x:c>
      <x:c r="I36" s="46" t="n">
        <x:v>1500</x:v>
      </x:c>
      <x:c r="J36" s="48" t="n">
        <x:v>0.11699260155023135</x:v>
      </x:c>
      <x:c r="K36" s="48" t="n">
        <x:v>0.5067873303167421</x:v>
      </x:c>
    </x:row>
    <x:row r="37">
      <x:c r="A37" s="16" t="str">
        <x:v>Electronics</x:v>
      </x:c>
      <x:c r="B37" s="16" t="n">
        <x:v>3156</x:v>
      </x:c>
      <x:c r="C37" s="16" t="n">
        <x:v>3061</x:v>
      </x:c>
      <x:c r="D37" s="16" t="n">
        <x:v>9436</x:v>
      </x:c>
      <x:c r="E37" s="46" t="n">
        <x:v>371034.64</x:v>
      </x:c>
      <x:c r="F37" s="46" t="n">
        <x:v>333327.26</x:v>
      </x:c>
      <x:c r="G37" s="46" t="n">
        <x:v>37708.03</x:v>
      </x:c>
      <x:c r="H37" s="46" t="n">
        <x:v>40891.38</x:v>
      </x:c>
      <x:c r="I37" s="46" t="n">
        <x:v>121.21</x:v>
      </x:c>
      <x:c r="J37" s="48" t="n">
        <x:v>0.12267637516355547</x:v>
      </x:c>
      <x:c r="K37" s="48" t="n">
        <x:v>0.5608365019011406</x:v>
      </x:c>
    </x:row>
    <x:row r="38">
      <x:c r="A38" s="16" t="str">
        <x:v>Cameras</x:v>
      </x:c>
      <x:c r="B38" s="16" t="n">
        <x:v>592</x:v>
      </x:c>
      <x:c r="C38" s="16" t="n">
        <x:v>592</x:v>
      </x:c>
      <x:c r="D38" s="16" t="n">
        <x:v>592</x:v>
      </x:c>
      <x:c r="E38" s="46" t="n">
        <x:v>267607.68</x:v>
      </x:c>
      <x:c r="F38" s="46" t="n">
        <x:v>240496.68</x:v>
      </x:c>
      <x:c r="G38" s="46" t="n">
        <x:v>27111</x:v>
      </x:c>
      <x:c r="H38" s="46" t="n">
        <x:v>30289.8</x:v>
      </x:c>
      <x:c r="I38" s="46" t="n">
        <x:v>452.04</x:v>
      </x:c>
      <x:c r="J38" s="48" t="n">
        <x:v>0.12594685298774186</x:v>
      </x:c>
      <x:c r="K38" s="48" t="n">
        <x:v>0.581081081081081</x:v>
      </x:c>
    </x:row>
    <x:row r="39">
      <x:c r="A39" s="16" t="str">
        <x:v>Garden</x:v>
      </x:c>
      <x:c r="B39" s="16" t="n">
        <x:v>484</x:v>
      </x:c>
      <x:c r="C39" s="16" t="n">
        <x:v>484</x:v>
      </x:c>
      <x:c r="D39" s="16" t="n">
        <x:v>484</x:v>
      </x:c>
      <x:c r="E39" s="46" t="n">
        <x:v>257768.72</x:v>
      </x:c>
      <x:c r="F39" s="46" t="n">
        <x:v>231765.46</x:v>
      </x:c>
      <x:c r="G39" s="46" t="n">
        <x:v>26003.52</x:v>
      </x:c>
      <x:c r="H39" s="46" t="n">
        <x:v>33443.01</x:v>
      </x:c>
      <x:c r="I39" s="46" t="n">
        <x:v>532.58</x:v>
      </x:c>
      <x:c r="J39" s="48" t="n">
        <x:v>0.1442967817551416</x:v>
      </x:c>
      <x:c r="K39" s="48" t="n">
        <x:v>0.5578512396694215</x:v>
      </x:c>
    </x:row>
    <x:row r="40">
      <x:c r="A40" s="16" t="str">
        <x:v>Children's Clothing</x:v>
      </x:c>
      <x:c r="B40" s="16" t="n">
        <x:v>652</x:v>
      </x:c>
      <x:c r="C40" s="16" t="n">
        <x:v>652</x:v>
      </x:c>
      <x:c r="D40" s="16" t="n">
        <x:v>652</x:v>
      </x:c>
      <x:c r="E40" s="46" t="n">
        <x:v>232829.2</x:v>
      </x:c>
      <x:c r="F40" s="46" t="n">
        <x:v>209268.38</x:v>
      </x:c>
      <x:c r="G40" s="46" t="n">
        <x:v>23561.91</x:v>
      </x:c>
      <x:c r="H40" s="46" t="n">
        <x:v>27178.1</x:v>
      </x:c>
      <x:c r="I40" s="46" t="n">
        <x:v>357.1</x:v>
      </x:c>
      <x:c r="J40" s="48" t="n">
        <x:v>0.12987198543802939</x:v>
      </x:c>
      <x:c r="K40" s="48" t="n">
        <x:v>0.5337423312883436</x:v>
      </x:c>
    </x:row>
    <x:row r="41">
      <x:c r="A41" s="16" t="str">
        <x:v>Crafts</x:v>
      </x:c>
      <x:c r="B41" s="16" t="n">
        <x:v>484</x:v>
      </x:c>
      <x:c r="C41" s="16" t="n">
        <x:v>484</x:v>
      </x:c>
      <x:c r="D41" s="16" t="n">
        <x:v>484</x:v>
      </x:c>
      <x:c r="E41" s="46" t="n">
        <x:v>223356.32</x:v>
      </x:c>
      <x:c r="F41" s="46" t="n">
        <x:v>200704.87</x:v>
      </x:c>
      <x:c r="G41" s="46" t="n">
        <x:v>22651.45</x:v>
      </x:c>
      <x:c r="H41" s="46" t="n">
        <x:v>25531.17</x:v>
      </x:c>
      <x:c r="I41" s="46" t="n">
        <x:v>461.48</x:v>
      </x:c>
      <x:c r="J41" s="48" t="n">
        <x:v>0.12720752615519493</x:v>
      </x:c>
      <x:c r="K41" s="48" t="n">
        <x:v>0.5599173553719008</x:v>
      </x:c>
    </x:row>
  </x:sheetData>
  <x:pageMargins left="0.7" right="0.7" top="0.75" bottom="0.75" header="0.3" footer="0.3"/>
  <x:tableParts count="3">
    <x:tablePart xmlns:r="http://schemas.openxmlformats.org/officeDocument/2006/relationships" r:id="Ra81131ca28a543fc"/>
    <x:tablePart xmlns:r="http://schemas.openxmlformats.org/officeDocument/2006/relationships" r:id="Rb5620875459740bb"/>
    <x:tablePart xmlns:r="http://schemas.openxmlformats.org/officeDocument/2006/relationships" r:id="Rf87d44ec41594cee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44" hidden="0" customWidth="1"/>
    <x:col min="5" max="5" width="58" hidden="0" customWidth="1"/>
  </x:cols>
  <x:sheetData>
    <x:row r="2">
      <x:c r="A2" s="21" t="str">
        <x:v>Metrics Validation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3">
      <x:c r="A3" s="22" t="str">
        <x:v>Every headline claim is recalculated from the processed source</x:v>
      </x:c>
    </x:row>
    <x:row r="5">
      <x:c r="A5" s="12" t="str">
        <x:v>metric</x:v>
      </x:c>
      <x:c r="B5" s="13" t="str">
        <x:v>resume_claim</x:v>
      </x:c>
      <x:c r="C5" s="13" t="str">
        <x:v>calculated_value</x:v>
      </x:c>
      <x:c r="D5" s="13" t="str">
        <x:v>definition</x:v>
      </x:c>
      <x:c r="E5" s="14" t="str">
        <x:v>result</x:v>
      </x:c>
    </x:row>
    <x:row r="6">
      <x:c r="A6" s="51" t="str">
        <x:v>Total records</x:v>
      </x:c>
      <x:c r="B6" s="51" t="str">
        <x:v>180K+</x:v>
      </x:c>
      <x:c r="C6" s="53" t="n">
        <x:v>180519</x:v>
      </x:c>
      <x:c r="D6" s="51" t="str">
        <x:v>COUNT(*)</x:v>
      </x:c>
      <x:c r="E6" s="51" t="str">
        <x:v>Verified</x:v>
      </x:c>
    </x:row>
    <x:row r="7">
      <x:c r="A7" s="52" t="str">
        <x:v>Distinct orders</x:v>
      </x:c>
      <x:c r="B7" s="52" t="str">
        <x:v>65.7K</x:v>
      </x:c>
      <x:c r="C7" s="54" t="n">
        <x:v>65752</x:v>
      </x:c>
      <x:c r="D7" s="52" t="str">
        <x:v>COUNT(DISTINCT order_id)</x:v>
      </x:c>
      <x:c r="E7" s="52" t="str">
        <x:v>Correct value is 65,752 (65.75K; 65.8K to 1 decimal)</x:v>
      </x:c>
    </x:row>
    <x:row r="8">
      <x:c r="A8" s="52" t="str">
        <x:v>Total sales</x:v>
      </x:c>
      <x:c r="B8" s="52" t="str">
        <x:v>$36.78M</x:v>
      </x:c>
      <x:c r="C8" s="55" t="n">
        <x:v>36784734.31</x:v>
      </x:c>
      <x:c r="D8" s="52" t="str">
        <x:v>SUM(gross_sales / source Sales)</x:v>
      </x:c>
      <x:c r="E8" s="52" t="str">
        <x:v>Verified as gross sales; net sales are $33.05M</x:v>
      </x:c>
    </x:row>
    <x:row r="9">
      <x:c r="A9" s="52" t="str">
        <x:v>Total profit</x:v>
      </x:c>
      <x:c r="B9" s="52" t="str">
        <x:v>$3.97M</x:v>
      </x:c>
      <x:c r="C9" s="55" t="n">
        <x:v>3966902.97</x:v>
      </x:c>
      <x:c r="D9" s="52" t="str">
        <x:v>SUM(profit / source Order Profit Per Order)</x:v>
      </x:c>
      <x:c r="E9" s="52" t="str">
        <x:v>Verified</x:v>
      </x:c>
    </x:row>
    <x:row r="10">
      <x:c r="A10" s="52" t="str">
        <x:v>Late-delivery rate</x:v>
      </x:c>
      <x:c r="B10" s="52" t="str">
        <x:v>54.83%</x:v>
      </x:c>
      <x:c r="C10" s="56" t="n">
        <x:v>0.54829132</x:v>
      </x:c>
      <x:c r="D10" s="52" t="str">
        <x:v>SUM(late_delivery_risk) / COUNT(*)</x:v>
      </x:c>
      <x:c r="E10" s="52" t="str">
        <x:v>Verified at line-item row grain; order-level rate is 54.82%</x:v>
      </x:c>
    </x:row>
    <x:row r="11">
      <x:c r="A11" s="52" t="str">
        <x:v>AOV</x:v>
      </x:c>
      <x:c r="B11" s="52" t="str">
        <x:v>$559.46</x:v>
      </x:c>
      <x:c r="C11" s="55" t="n">
        <x:v>559.446622</x:v>
      </x:c>
      <x:c r="D11" s="52" t="str">
        <x:v>SUM(gross_sales) / COUNT(DISTINCT order_id)</x:v>
      </x:c>
      <x:c r="E11" s="52" t="str">
        <x:v>Correct two-decimal rounding is $559.45</x:v>
      </x:c>
    </x:row>
  </x:sheetData>
  <x:pageMargins left="0.7" right="0.7" top="0.75" bottom="0.75" header="0.3" footer="0.3"/>
  <x:tableParts count="1">
    <x:tablePart xmlns:r="http://schemas.openxmlformats.org/officeDocument/2006/relationships" r:id="R0c5ef4773c3346b6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58" hidden="0" customWidth="1"/>
  </x:cols>
  <x:sheetData>
    <x:row r="2">
      <x:c r="A2" s="21" t="str">
        <x:v>Data Quality Assessment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3">
      <x:c r="A3" s="22" t="str">
        <x:v>Checks cover grain, completeness, monetary consistency, and operational fields</x:v>
      </x:c>
    </x:row>
    <x:row r="5">
      <x:c r="A5" s="12" t="str">
        <x:v>check</x:v>
      </x:c>
      <x:c r="B5" s="13" t="str">
        <x:v>expected</x:v>
      </x:c>
      <x:c r="C5" s="13" t="str">
        <x:v>actual</x:v>
      </x:c>
      <x:c r="D5" s="13" t="str">
        <x:v>status</x:v>
      </x:c>
      <x:c r="E5" s="14" t="str">
        <x:v>interpretation</x:v>
      </x:c>
    </x:row>
    <x:row r="6">
      <x:c r="A6" s="51" t="str">
        <x:v>Dataset rows</x:v>
      </x:c>
      <x:c r="B6" s="51" t="n">
        <x:v>180519</x:v>
      </x:c>
      <x:c r="C6" s="51" t="n">
        <x:v>180519</x:v>
      </x:c>
      <x:c r="D6" s="51" t="str">
        <x:v>Pass</x:v>
      </x:c>
      <x:c r="E6" s="51" t="str">
        <x:v>Line-item grain; Order Item Id is unique</x:v>
      </x:c>
    </x:row>
    <x:row r="7">
      <x:c r="A7" s="52" t="str">
        <x:v>Dataset columns (raw)</x:v>
      </x:c>
      <x:c r="B7" s="52" t="n">
        <x:v>53</x:v>
      </x:c>
      <x:c r="C7" s="52" t="n">
        <x:v>53</x:v>
      </x:c>
      <x:c r="D7" s="52" t="str">
        <x:v>Pass</x:v>
      </x:c>
      <x:c r="E7" s="52" t="str">
        <x:v>53 source columns</x:v>
      </x:c>
    </x:row>
    <x:row r="8">
      <x:c r="A8" s="52" t="str">
        <x:v>Exact duplicate rows</x:v>
      </x:c>
      <x:c r="B8" s="52" t="n">
        <x:v>0</x:v>
      </x:c>
      <x:c r="C8" s="52" t="n">
        <x:v>0</x:v>
      </x:c>
      <x:c r="D8" s="52" t="str">
        <x:v>Pass</x:v>
      </x:c>
      <x:c r="E8" s="52" t="str">
        <x:v>No exact duplicates expected</x:v>
      </x:c>
    </x:row>
    <x:row r="9">
      <x:c r="A9" s="52" t="str">
        <x:v>Unique Order Item Id</x:v>
      </x:c>
      <x:c r="B9" s="52" t="n">
        <x:v>180519</x:v>
      </x:c>
      <x:c r="C9" s="52" t="n">
        <x:v>180519</x:v>
      </x:c>
      <x:c r="D9" s="52" t="str">
        <x:v>Pass</x:v>
      </x:c>
      <x:c r="E9" s="52" t="str">
        <x:v>Candidate primary key</x:v>
      </x:c>
    </x:row>
    <x:row r="10">
      <x:c r="A10" s="52" t="str">
        <x:v>Order date parse failures</x:v>
      </x:c>
      <x:c r="B10" s="52" t="n">
        <x:v>0</x:v>
      </x:c>
      <x:c r="C10" s="52" t="n">
        <x:v>0</x:v>
      </x:c>
      <x:c r="D10" s="52" t="str">
        <x:v>Pass</x:v>
      </x:c>
      <x:c r="E10" s="52" t="str">
        <x:v>Parsed as source-local timestamps</x:v>
      </x:c>
    </x:row>
    <x:row r="11">
      <x:c r="A11" s="52" t="str">
        <x:v>Shipping date parse failures</x:v>
      </x:c>
      <x:c r="B11" s="52" t="n">
        <x:v>0</x:v>
      </x:c>
      <x:c r="C11" s="52" t="n">
        <x:v>0</x:v>
      </x:c>
      <x:c r="D11" s="52" t="str">
        <x:v>Pass</x:v>
      </x:c>
      <x:c r="E11" s="52" t="str">
        <x:v>Parsed as source-local timestamps</x:v>
      </x:c>
    </x:row>
    <x:row r="12">
      <x:c r="A12" s="52" t="str">
        <x:v>Negative sales rows</x:v>
      </x:c>
      <x:c r="B12" s="52" t="n">
        <x:v>0</x:v>
      </x:c>
      <x:c r="C12" s="52" t="n">
        <x:v>0</x:v>
      </x:c>
      <x:c r="D12" s="52" t="str">
        <x:v>Pass</x:v>
      </x:c>
      <x:c r="E12" s="52" t="str">
        <x:v>Gross sales must be non-negative</x:v>
      </x:c>
    </x:row>
    <x:row r="13">
      <x:c r="A13" s="52" t="str">
        <x:v>Negative quantity rows</x:v>
      </x:c>
      <x:c r="B13" s="52" t="n">
        <x:v>0</x:v>
      </x:c>
      <x:c r="C13" s="52" t="n">
        <x:v>0</x:v>
      </x:c>
      <x:c r="D13" s="52" t="str">
        <x:v>Pass</x:v>
      </x:c>
      <x:c r="E13" s="52" t="str">
        <x:v>Quantity must be non-negative</x:v>
      </x:c>
    </x:row>
    <x:row r="14">
      <x:c r="A14" s="52" t="str">
        <x:v>Discount rate outside 0-1</x:v>
      </x:c>
      <x:c r="B14" s="52" t="n">
        <x:v>0</x:v>
      </x:c>
      <x:c r="C14" s="52" t="n">
        <x:v>0</x:v>
      </x:c>
      <x:c r="D14" s="52" t="str">
        <x:v>Pass</x:v>
      </x:c>
      <x:c r="E14" s="52" t="str">
        <x:v>Rate domain check</x:v>
      </x:c>
    </x:row>
    <x:row r="15">
      <x:c r="A15" s="52" t="str">
        <x:v>Late-risk/status mismatches</x:v>
      </x:c>
      <x:c r="B15" s="52" t="n">
        <x:v>0</x:v>
      </x:c>
      <x:c r="C15" s="52" t="n">
        <x:v>0</x:v>
      </x:c>
      <x:c r="D15" s="52" t="str">
        <x:v>Pass</x:v>
      </x:c>
      <x:c r="E15" s="52" t="str">
        <x:v>Risk flag agrees with delivery status</x:v>
      </x:c>
    </x:row>
    <x:row r="16">
      <x:c r="A16" s="52" t="str">
        <x:v>Shipping before order rows</x:v>
      </x:c>
      <x:c r="B16" s="52" t="n">
        <x:v>0</x:v>
      </x:c>
      <x:c r="C16" s="52" t="n">
        <x:v>0</x:v>
      </x:c>
      <x:c r="D16" s="52" t="str">
        <x:v>Pass</x:v>
      </x:c>
      <x:c r="E16" s="52" t="str">
        <x:v>Temporal integrity</x:v>
      </x:c>
    </x:row>
    <x:row r="17">
      <x:c r="A17" s="52" t="str">
        <x:v>Product description missing</x:v>
      </x:c>
      <x:c r="B17" s="52" t="n">
        <x:v>180519</x:v>
      </x:c>
      <x:c r="C17" s="52" t="n">
        <x:v>180519</x:v>
      </x:c>
      <x:c r="D17" s="52" t="str">
        <x:v>Documented</x:v>
      </x:c>
      <x:c r="E17" s="52" t="str">
        <x:v>Entirely empty; removed from cleaned file</x:v>
      </x:c>
    </x:row>
    <x:row r="18">
      <x:c r="A18" s="52" t="str">
        <x:v>Order zipcode missing</x:v>
      </x:c>
      <x:c r="B18" s="52" t="str"/>
      <x:c r="C18" s="52" t="n">
        <x:v>155679</x:v>
      </x:c>
      <x:c r="D18" s="52" t="str">
        <x:v>Documented</x:v>
      </x:c>
      <x:c r="E18" s="52" t="str">
        <x:v>86.24% missing; removed from cleaned file</x:v>
      </x:c>
    </x:row>
    <x:row r="19">
      <x:c r="A19" s="52" t="str">
        <x:v>Timestamp duration differs by 0.5 day</x:v>
      </x:c>
      <x:c r="B19" s="52" t="n">
        <x:v>0</x:v>
      </x:c>
      <x:c r="C19" s="52" t="n">
        <x:v>9737</x:v>
      </x:c>
      <x:c r="D19" s="52" t="str">
        <x:v>Documented</x:v>
      </x:c>
      <x:c r="E19" s="52" t="str">
        <x:v>Use supplied actual_shipping_days for KPI consistency</x:v>
      </x:c>
    </x:row>
    <x:row r="20">
      <x:c r="A20" s="57"/>
      <x:c r="B20" s="57"/>
      <x:c r="C20" s="57"/>
      <x:c r="D20" s="57"/>
      <x:c r="E20" s="57"/>
    </x:row>
  </x:sheetData>
  <x:conditionalFormatting sqref="D6:D20">
    <x:cfRule type="containsText" dxfId="1" priority="1" operator="containsText" text="Documented"/>
  </x:conditionalFormatting>
  <x:pageMargins left="0.7" right="0.7" top="0.75" bottom="0.75" header="0.3" footer="0.3"/>
  <x:tableParts count="1">
    <x:tablePart xmlns:r="http://schemas.openxmlformats.org/officeDocument/2006/relationships" r:id="R55d134fa15ae4472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</x:cols>
  <x:sheetData>
    <x:row r="1">
      <x:c r="A1" s="1" t="str">
        <x:v>KPI filter cube</x:v>
      </x:c>
      <x:c r="Q1" t="str">
        <x:v>Month</x:v>
      </x:c>
      <x:c r="R1" t="str">
        <x:v>Gross Sales ($M)</x:v>
      </x:c>
      <x:c r="S1" t="str">
        <x:v>Net Sales</x:v>
      </x:c>
      <x:c r="T1" t="str">
        <x:v>Profit</x:v>
      </x:c>
      <x:c r="U1" t="str">
        <x:v>Orders</x:v>
      </x:c>
      <x:c r="V1" t="str">
        <x:v>Late Delivery %</x:v>
      </x:c>
      <x:c r="X1" t="str">
        <x:v>Market</x:v>
      </x:c>
      <x:c r="Y1" t="str">
        <x:v>Gross Sales ($M)</x:v>
      </x:c>
      <x:c r="AA1" t="str">
        <x:v>Segment</x:v>
      </x:c>
      <x:c r="AB1" t="str">
        <x:v>Gross Sales ($M)</x:v>
      </x:c>
      <x:c r="AD1" t="str">
        <x:v>Shipping Mode</x:v>
      </x:c>
      <x:c r="AE1" t="str">
        <x:v>Late Delivery %</x:v>
      </x:c>
      <x:c r="AG1" t="str">
        <x:v>Category</x:v>
      </x:c>
      <x:c r="AH1" t="str">
        <x:v>Gross Sales ($M)</x:v>
      </x:c>
      <x:c r="AJ1" t="str">
        <x:v>Delivery Status</x:v>
      </x:c>
      <x:c r="AK1" t="str">
        <x:v>Orders</x:v>
      </x:c>
    </x:row>
    <x:row r="2">
      <x:c r="Q2" t="str">
        <x:v>2015-01</x:v>
      </x:c>
      <x:c r="R2" s="17" t="n">
        <x:f>SUMIFS($G$32:$G$423,$A$32:$A$423,Dashboard!$B$4,$B$32:$B$423,Dashboard!$E$4,$C$32:$C$423,Q2)/1000000</x:f>
        <x:v>1.05159006</x:v>
      </x:c>
      <x:c r="S2" s="18" t="n">
        <x:f>SUMIFS($H$32:$H$423,$A$32:$A$423,Dashboard!$B$4,$B$32:$B$423,Dashboard!$E$4,$C$32:$C$423,Q2)</x:f>
        <x:v>945382.15</x:v>
      </x:c>
      <x:c r="T2" s="18" t="n">
        <x:f>SUMIFS($J$32:$J$423,$A$32:$A$423,Dashboard!$B$4,$B$32:$B$423,Dashboard!$E$4,$C$32:$C$423,Q2)</x:f>
        <x:v>111660.74</x:v>
      </x:c>
      <x:c r="U2" t="n">
        <x:f>SUMIFS($E$32:$E$423,$A$32:$A$423,Dashboard!$B$4,$B$32:$B$423,Dashboard!$E$4,$C$32:$C$423,Q2)</x:f>
        <x:v>1787</x:v>
      </x:c>
      <x:c r="V2" s="19" t="n">
        <x:f>IFERROR(SUMIFS($K$32:$K$423,$A$32:$A$423,Dashboard!$B$4,$B$32:$B$423,Dashboard!$E$4,$C$32:$C$423,Q2)/SUMIFS($D$32:$D$423,$A$32:$A$423,Dashboard!$B$4,$B$32:$B$423,Dashboard!$E$4,$C$32:$C$423,Q2),0)</x:f>
        <x:v>0.5411499436302142</x:v>
      </x:c>
      <x:c r="X2" t="str">
        <x:v>Africa</x:v>
      </x:c>
      <x:c r="Y2" s="17" t="n">
        <x:v>2.2944528799999997</x:v>
      </x:c>
      <x:c r="AA2" t="str">
        <x:v>Consumer</x:v>
      </x:c>
      <x:c r="AB2" s="17" t="n">
        <x:v>19.095789789999998</x:v>
      </x:c>
      <x:c r="AD2" t="str">
        <x:v>First Class</x:v>
      </x:c>
      <x:c r="AE2" s="19" t="n">
        <x:v>0.9526738763766247</x:v>
      </x:c>
      <x:c r="AG2" t="str">
        <x:v>Fishing</x:v>
      </x:c>
      <x:c r="AH2" s="17" t="n">
        <x:v>6.9296535</x:v>
      </x:c>
      <x:c r="AJ2" t="str">
        <x:v>Advance shipping</x:v>
      </x:c>
      <x:c r="AK2" t="n">
        <x:v>15127</x:v>
      </x:c>
    </x:row>
    <x:row r="3">
      <x:c r="A3" s="12" t="str">
        <x:v>market</x:v>
      </x:c>
      <x:c r="B3" s="13" t="str">
        <x:v>customer_segment</x:v>
      </x:c>
      <x:c r="C3" s="13" t="str">
        <x:v>records</x:v>
      </x:c>
      <x:c r="D3" s="13" t="str">
        <x:v>orders</x:v>
      </x:c>
      <x:c r="E3" s="13" t="str">
        <x:v>units</x:v>
      </x:c>
      <x:c r="F3" s="13" t="str">
        <x:v>gross_sales</x:v>
      </x:c>
      <x:c r="G3" s="13" t="str">
        <x:v>net_sales</x:v>
      </x:c>
      <x:c r="H3" s="13" t="str">
        <x:v>discount</x:v>
      </x:c>
      <x:c r="I3" s="13" t="str">
        <x:v>profit</x:v>
      </x:c>
      <x:c r="J3" s="13" t="str">
        <x:v>late_records</x:v>
      </x:c>
      <x:c r="K3" s="13" t="str">
        <x:v>gross_aov</x:v>
      </x:c>
      <x:c r="L3" s="13" t="str">
        <x:v>net_aov</x:v>
      </x:c>
      <x:c r="M3" s="13" t="str">
        <x:v>profit_margin_net</x:v>
      </x:c>
      <x:c r="N3" s="14" t="str">
        <x:v>late_delivery_rate_row</x:v>
      </x:c>
      <x:c r="Q3" t="str">
        <x:v>2015-02</x:v>
      </x:c>
      <x:c r="R3" s="17" t="n">
        <x:f>SUMIFS($G$32:$G$423,$A$32:$A$423,Dashboard!$B$4,$B$32:$B$423,Dashboard!$E$4,$C$32:$C$423,Q3)/1000000</x:f>
        <x:v>0.92700988</x:v>
      </x:c>
      <x:c r="S3" s="18" t="n">
        <x:f>SUMIFS($H$32:$H$423,$A$32:$A$423,Dashboard!$B$4,$B$32:$B$423,Dashboard!$E$4,$C$32:$C$423,Q3)</x:f>
        <x:v>833012.42</x:v>
      </x:c>
      <x:c r="T3" s="18" t="n">
        <x:f>SUMIFS($J$32:$J$423,$A$32:$A$423,Dashboard!$B$4,$B$32:$B$423,Dashboard!$E$4,$C$32:$C$423,Q3)</x:f>
        <x:v>99140.66</x:v>
      </x:c>
      <x:c r="U3" t="n">
        <x:f>SUMIFS($E$32:$E$423,$A$32:$A$423,Dashboard!$B$4,$B$32:$B$423,Dashboard!$E$4,$C$32:$C$423,Q3)</x:f>
        <x:v>1585</x:v>
      </x:c>
      <x:c r="V3" s="19" t="n">
        <x:f>IFERROR(SUMIFS($K$32:$K$423,$A$32:$A$423,Dashboard!$B$4,$B$32:$B$423,Dashboard!$E$4,$C$32:$C$423,Q3)/SUMIFS($D$32:$D$423,$A$32:$A$423,Dashboard!$B$4,$B$32:$B$423,Dashboard!$E$4,$C$32:$C$423,Q3),0)</x:f>
        <x:v>0.5485303446817509</x:v>
      </x:c>
      <x:c r="X3" t="str">
        <x:v>Europe</x:v>
      </x:c>
      <x:c r="Y3" s="17" t="n">
        <x:v>10.8723966</x:v>
      </x:c>
      <x:c r="AA3" t="str">
        <x:v>Corporate</x:v>
      </x:c>
      <x:c r="AB3" s="17" t="n">
        <x:v>11.168406630000002</x:v>
      </x:c>
      <x:c r="AD3" t="str">
        <x:v>Second Class</x:v>
      </x:c>
      <x:c r="AE3" s="19" t="n">
        <x:v>0.7671779621223979</x:v>
      </x:c>
      <x:c r="AG3" t="str">
        <x:v>Cleats</x:v>
      </x:c>
      <x:c r="AH3" s="17" t="n">
        <x:v>4.43194266</x:v>
      </x:c>
      <x:c r="AJ3" t="str">
        <x:v>Late delivery</x:v>
      </x:c>
      <x:c r="AK3" t="n">
        <x:v>36048</x:v>
      </x:c>
    </x:row>
    <x:row r="4">
      <x:c r="A4" s="15" t="str">
        <x:v>Africa</x:v>
      </x:c>
      <x:c r="B4" s="15" t="str">
        <x:v>All</x:v>
      </x:c>
      <x:c r="C4" s="15" t="n">
        <x:v>11614</x:v>
      </x:c>
      <x:c r="D4" s="15" t="n">
        <x:v>3854</x:v>
      </x:c>
      <x:c r="E4" s="15" t="n">
        <x:v>25603</x:v>
      </x:c>
      <x:c r="F4" s="15" t="n">
        <x:v>2294452.88</x:v>
      </x:c>
      <x:c r="G4" s="15" t="n">
        <x:v>2061679.37</x:v>
      </x:c>
      <x:c r="H4" s="15" t="n">
        <x:v>232776.37</x:v>
      </x:c>
      <x:c r="I4" s="15" t="n">
        <x:v>252071.18</x:v>
      </x:c>
      <x:c r="J4" s="15" t="n">
        <x:v>6340</x:v>
      </x:c>
      <x:c r="K4" s="15" t="n">
        <x:v>595.34</x:v>
      </x:c>
      <x:c r="L4" s="15" t="n">
        <x:v>534.95</x:v>
      </x:c>
      <x:c r="M4" s="15" t="n">
        <x:v>0.12226497663407282</x:v>
      </x:c>
      <x:c r="N4" s="15" t="n">
        <x:v>0.5458928878939211</x:v>
      </x:c>
      <x:c r="Q4" t="str">
        <x:v>2015-03</x:v>
      </x:c>
      <x:c r="R4" s="17" t="n">
        <x:f>SUMIFS($G$32:$G$423,$A$32:$A$423,Dashboard!$B$4,$B$32:$B$423,Dashboard!$E$4,$C$32:$C$423,Q4)/1000000</x:f>
        <x:v>1.05125367</x:v>
      </x:c>
      <x:c r="S4" s="18" t="n">
        <x:f>SUMIFS($H$32:$H$423,$A$32:$A$423,Dashboard!$B$4,$B$32:$B$423,Dashboard!$E$4,$C$32:$C$423,Q4)</x:f>
        <x:v>944050.1</x:v>
      </x:c>
      <x:c r="T4" s="18" t="n">
        <x:f>SUMIFS($J$32:$J$423,$A$32:$A$423,Dashboard!$B$4,$B$32:$B$423,Dashboard!$E$4,$C$32:$C$423,Q4)</x:f>
        <x:v>113778.21</x:v>
      </x:c>
      <x:c r="U4" t="n">
        <x:f>SUMIFS($E$32:$E$423,$A$32:$A$423,Dashboard!$B$4,$B$32:$B$423,Dashboard!$E$4,$C$32:$C$423,Q4)</x:f>
        <x:v>1781</x:v>
      </x:c>
      <x:c r="V4" s="19" t="n">
        <x:f>IFERROR(SUMIFS($K$32:$K$423,$A$32:$A$423,Dashboard!$B$4,$B$32:$B$423,Dashboard!$E$4,$C$32:$C$423,Q4)/SUMIFS($D$32:$D$423,$A$32:$A$423,Dashboard!$B$4,$B$32:$B$423,Dashboard!$E$4,$C$32:$C$423,Q4),0)</x:f>
        <x:v>0.5475568817605371</x:v>
      </x:c>
      <x:c r="X4" t="str">
        <x:v>LATAM</x:v>
      </x:c>
      <x:c r="Y4" s="17" t="n">
        <x:v>10.277612640000001</x:v>
      </x:c>
      <x:c r="AA4" t="str">
        <x:v>Home Office</x:v>
      </x:c>
      <x:c r="AB4" s="17" t="n">
        <x:v>6.52053789</x:v>
      </x:c>
      <x:c r="AD4" t="str">
        <x:v>Same Day</x:v>
      </x:c>
      <x:c r="AE4" s="19" t="n">
        <x:v>0.4614953794455335</x:v>
      </x:c>
      <x:c r="AG4" t="str">
        <x:v>Camping &amp; Hiking</x:v>
      </x:c>
      <x:c r="AH4" s="17" t="n">
        <x:v>4.11842542</x:v>
      </x:c>
      <x:c r="AJ4" t="str">
        <x:v>Shipping canceled</x:v>
      </x:c>
      <x:c r="AK4" t="n">
        <x:v>2855</x:v>
      </x:c>
    </x:row>
    <x:row r="5">
      <x:c r="A5" s="16" t="str">
        <x:v>Africa</x:v>
      </x:c>
      <x:c r="B5" s="16" t="str">
        <x:v>Consumer</x:v>
      </x:c>
      <x:c r="C5" s="16" t="n">
        <x:v>6007</x:v>
      </x:c>
      <x:c r="D5" s="16" t="n">
        <x:v>2009</x:v>
      </x:c>
      <x:c r="E5" s="16" t="n">
        <x:v>13231</x:v>
      </x:c>
      <x:c r="F5" s="16" t="n">
        <x:v>1187434.07</x:v>
      </x:c>
      <x:c r="G5" s="16" t="n">
        <x:v>1066810.29</x:v>
      </x:c>
      <x:c r="H5" s="16" t="n">
        <x:v>120625.2</x:v>
      </x:c>
      <x:c r="I5" s="16" t="n">
        <x:v>129600.89</x:v>
      </x:c>
      <x:c r="J5" s="16" t="n">
        <x:v>3305</x:v>
      </x:c>
      <x:c r="K5" s="16" t="n">
        <x:v>591.06</x:v>
      </x:c>
      <x:c r="L5" s="16" t="n">
        <x:v>531.02</x:v>
      </x:c>
      <x:c r="M5" s="16" t="n">
        <x:v>0.12148447686982847</x:v>
      </x:c>
      <x:c r="N5" s="16" t="n">
        <x:v>0.5501914433161312</x:v>
      </x:c>
      <x:c r="Q5" t="str">
        <x:v>2015-04</x:v>
      </x:c>
      <x:c r="R5" s="17" t="n">
        <x:f>SUMIFS($G$32:$G$423,$A$32:$A$423,Dashboard!$B$4,$B$32:$B$423,Dashboard!$E$4,$C$32:$C$423,Q5)/1000000</x:f>
        <x:v>1.01446326</x:v>
      </x:c>
      <x:c r="S5" s="18" t="n">
        <x:f>SUMIFS($H$32:$H$423,$A$32:$A$423,Dashboard!$B$4,$B$32:$B$423,Dashboard!$E$4,$C$32:$C$423,Q5)</x:f>
        <x:v>912004.39</x:v>
      </x:c>
      <x:c r="T5" s="18" t="n">
        <x:f>SUMIFS($J$32:$J$423,$A$32:$A$423,Dashboard!$B$4,$B$32:$B$423,Dashboard!$E$4,$C$32:$C$423,Q5)</x:f>
        <x:v>108083.68</x:v>
      </x:c>
      <x:c r="U5" t="n">
        <x:f>SUMIFS($E$32:$E$423,$A$32:$A$423,Dashboard!$B$4,$B$32:$B$423,Dashboard!$E$4,$C$32:$C$423,Q5)</x:f>
        <x:v>1710</x:v>
      </x:c>
      <x:c r="V5" s="19" t="n">
        <x:f>IFERROR(SUMIFS($K$32:$K$423,$A$32:$A$423,Dashboard!$B$4,$B$32:$B$423,Dashboard!$E$4,$C$32:$C$423,Q5)/SUMIFS($D$32:$D$423,$A$32:$A$423,Dashboard!$B$4,$B$32:$B$423,Dashboard!$E$4,$C$32:$C$423,Q5),0)</x:f>
        <x:v>0.538431525555989</x:v>
      </x:c>
      <x:c r="X5" t="str">
        <x:v>Pacific Asia</x:v>
      </x:c>
      <x:c r="Y5" s="17" t="n">
        <x:v>8.27374358</x:v>
      </x:c>
      <x:c r="AD5" t="str">
        <x:v>Standard Class</x:v>
      </x:c>
      <x:c r="AE5" s="19" t="n">
        <x:v>0.3813192961041603</x:v>
      </x:c>
      <x:c r="AG5" t="str">
        <x:v>Cardio Equipment</x:v>
      </x:c>
      <x:c r="AH5" s="17" t="n">
        <x:v>3.6948432</x:v>
      </x:c>
      <x:c r="AJ5" t="str">
        <x:v>Shipping on time</x:v>
      </x:c>
      <x:c r="AK5" t="n">
        <x:v>11722</x:v>
      </x:c>
    </x:row>
    <x:row r="6">
      <x:c r="A6" s="16" t="str">
        <x:v>Africa</x:v>
      </x:c>
      <x:c r="B6" s="16" t="str">
        <x:v>Corporate</x:v>
      </x:c>
      <x:c r="C6" s="16" t="n">
        <x:v>3528</x:v>
      </x:c>
      <x:c r="D6" s="16" t="n">
        <x:v>1167</x:v>
      </x:c>
      <x:c r="E6" s="16" t="n">
        <x:v>7671</x:v>
      </x:c>
      <x:c r="F6" s="16" t="n">
        <x:v>699757.5</x:v>
      </x:c>
      <x:c r="G6" s="16" t="n">
        <x:v>629263.86</x:v>
      </x:c>
      <x:c r="H6" s="16" t="n">
        <x:v>70494.45</x:v>
      </x:c>
      <x:c r="I6" s="16" t="n">
        <x:v>75761.37</x:v>
      </x:c>
      <x:c r="J6" s="16" t="n">
        <x:v>1943</x:v>
      </x:c>
      <x:c r="K6" s="16" t="n">
        <x:v>599.62</x:v>
      </x:c>
      <x:c r="L6" s="16" t="n">
        <x:v>539.21</x:v>
      </x:c>
      <x:c r="M6" s="16" t="n">
        <x:v>0.12039682367902074</x:v>
      </x:c>
      <x:c r="N6" s="16" t="n">
        <x:v>0.5507369614512472</x:v>
      </x:c>
      <x:c r="Q6" t="str">
        <x:v>2015-05</x:v>
      </x:c>
      <x:c r="R6" s="17" t="n">
        <x:f>SUMIFS($G$32:$G$423,$A$32:$A$423,Dashboard!$B$4,$B$32:$B$423,Dashboard!$E$4,$C$32:$C$423,Q6)/1000000</x:f>
        <x:v>1.05047842</x:v>
      </x:c>
      <x:c r="S6" s="18" t="n">
        <x:f>SUMIFS($H$32:$H$423,$A$32:$A$423,Dashboard!$B$4,$B$32:$B$423,Dashboard!$E$4,$C$32:$C$423,Q6)</x:f>
        <x:v>943939.76</x:v>
      </x:c>
      <x:c r="T6" s="18" t="n">
        <x:f>SUMIFS($J$32:$J$423,$A$32:$A$423,Dashboard!$B$4,$B$32:$B$423,Dashboard!$E$4,$C$32:$C$423,Q6)</x:f>
        <x:v>112147.9</x:v>
      </x:c>
      <x:c r="U6" t="n">
        <x:f>SUMIFS($E$32:$E$423,$A$32:$A$423,Dashboard!$B$4,$B$32:$B$423,Dashboard!$E$4,$C$32:$C$423,Q6)</x:f>
        <x:v>1776</x:v>
      </x:c>
      <x:c r="V6" s="19" t="n">
        <x:f>IFERROR(SUMIFS($K$32:$K$423,$A$32:$A$423,Dashboard!$B$4,$B$32:$B$423,Dashboard!$E$4,$C$32:$C$423,Q6)/SUMIFS($D$32:$D$423,$A$32:$A$423,Dashboard!$B$4,$B$32:$B$423,Dashboard!$E$4,$C$32:$C$423,Q6),0)</x:f>
        <x:v>0.5508680231472839</x:v>
      </x:c>
      <x:c r="X6" t="str">
        <x:v>USCA</x:v>
      </x:c>
      <x:c r="Y6" s="17" t="n">
        <x:v>5.066528610000001</x:v>
      </x:c>
      <x:c r="AG6" t="str">
        <x:v>Women's Apparel</x:v>
      </x:c>
      <x:c r="AH6" s="17" t="n">
        <x:v>3.1478</x:v>
      </x:c>
    </x:row>
    <x:row r="7">
      <x:c r="A7" s="16" t="str">
        <x:v>Africa</x:v>
      </x:c>
      <x:c r="B7" s="16" t="str">
        <x:v>Home Office</x:v>
      </x:c>
      <x:c r="C7" s="16" t="n">
        <x:v>2079</x:v>
      </x:c>
      <x:c r="D7" s="16" t="n">
        <x:v>678</x:v>
      </x:c>
      <x:c r="E7" s="16" t="n">
        <x:v>4701</x:v>
      </x:c>
      <x:c r="F7" s="16" t="n">
        <x:v>407261.31</x:v>
      </x:c>
      <x:c r="G7" s="16" t="n">
        <x:v>365605.22</x:v>
      </x:c>
      <x:c r="H7" s="16" t="n">
        <x:v>41656.72</x:v>
      </x:c>
      <x:c r="I7" s="16" t="n">
        <x:v>46708.92</x:v>
      </x:c>
      <x:c r="J7" s="16" t="n">
        <x:v>1092</x:v>
      </x:c>
      <x:c r="K7" s="16" t="n">
        <x:v>600.68</x:v>
      </x:c>
      <x:c r="L7" s="16" t="n">
        <x:v>539.24</x:v>
      </x:c>
      <x:c r="M7" s="16" t="n">
        <x:v>0.12775780389568833</x:v>
      </x:c>
      <x:c r="N7" s="16" t="n">
        <x:v>0.5252525252525253</x:v>
      </x:c>
      <x:c r="Q7" t="str">
        <x:v>2015-06</x:v>
      </x:c>
      <x:c r="R7" s="17" t="n">
        <x:f>SUMIFS($G$32:$G$423,$A$32:$A$423,Dashboard!$B$4,$B$32:$B$423,Dashboard!$E$4,$C$32:$C$423,Q7)/1000000</x:f>
        <x:v>1.02400615</x:v>
      </x:c>
      <x:c r="S7" s="18" t="n">
        <x:f>SUMIFS($H$32:$H$423,$A$32:$A$423,Dashboard!$B$4,$B$32:$B$423,Dashboard!$E$4,$C$32:$C$423,Q7)</x:f>
        <x:v>920242.05</x:v>
      </x:c>
      <x:c r="T7" s="18" t="n">
        <x:f>SUMIFS($J$32:$J$423,$A$32:$A$423,Dashboard!$B$4,$B$32:$B$423,Dashboard!$E$4,$C$32:$C$423,Q7)</x:f>
        <x:v>110147.16</x:v>
      </x:c>
      <x:c r="U7" t="n">
        <x:f>SUMIFS($E$32:$E$423,$A$32:$A$423,Dashboard!$B$4,$B$32:$B$423,Dashboard!$E$4,$C$32:$C$423,Q7)</x:f>
        <x:v>1725</x:v>
      </x:c>
      <x:c r="V7" s="19" t="n">
        <x:f>IFERROR(SUMIFS($K$32:$K$423,$A$32:$A$423,Dashboard!$B$4,$B$32:$B$423,Dashboard!$E$4,$C$32:$C$423,Q7)/SUMIFS($D$32:$D$423,$A$32:$A$423,Dashboard!$B$4,$B$32:$B$423,Dashboard!$E$4,$C$32:$C$423,Q7),0)</x:f>
        <x:v>0.5410985586287496</x:v>
      </x:c>
      <x:c r="AG7" t="str">
        <x:v>Water Sports</x:v>
      </x:c>
      <x:c r="AH7" s="17" t="n">
        <x:v>3.1138446</x:v>
      </x:c>
    </x:row>
    <x:row r="8">
      <x:c r="A8" s="16" t="str">
        <x:v>All</x:v>
      </x:c>
      <x:c r="B8" s="16" t="str">
        <x:v>All</x:v>
      </x:c>
      <x:c r="C8" s="16" t="n">
        <x:v>180519</x:v>
      </x:c>
      <x:c r="D8" s="16" t="n">
        <x:v>65752</x:v>
      </x:c>
      <x:c r="E8" s="16" t="n">
        <x:v>384079</x:v>
      </x:c>
      <x:c r="F8" s="16" t="n">
        <x:v>36784734.31</x:v>
      </x:c>
      <x:c r="G8" s="16" t="n">
        <x:v>33054402.04</x:v>
      </x:c>
      <x:c r="H8" s="16" t="n">
        <x:v>3730378.4</x:v>
      </x:c>
      <x:c r="I8" s="16" t="n">
        <x:v>3966902.97</x:v>
      </x:c>
      <x:c r="J8" s="16" t="n">
        <x:v>98977</x:v>
      </x:c>
      <x:c r="K8" s="16" t="n">
        <x:v>559.45</x:v>
      </x:c>
      <x:c r="L8" s="16" t="n">
        <x:v>502.71</x:v>
      </x:c>
      <x:c r="M8" s="16" t="n">
        <x:v>0.12001133662014357</x:v>
      </x:c>
      <x:c r="N8" s="16" t="n">
        <x:v>0.5482913155955883</x:v>
      </x:c>
      <x:c r="Q8" t="str">
        <x:v>2015-07</x:v>
      </x:c>
      <x:c r="R8" s="17" t="n">
        <x:f>SUMIFS($G$32:$G$423,$A$32:$A$423,Dashboard!$B$4,$B$32:$B$423,Dashboard!$E$4,$C$32:$C$423,Q8)/1000000</x:f>
        <x:v>1.03808117</x:v>
      </x:c>
      <x:c r="S8" s="18" t="n">
        <x:f>SUMIFS($H$32:$H$423,$A$32:$A$423,Dashboard!$B$4,$B$32:$B$423,Dashboard!$E$4,$C$32:$C$423,Q8)</x:f>
        <x:v>932936.78</x:v>
      </x:c>
      <x:c r="T8" s="18" t="n">
        <x:f>SUMIFS($J$32:$J$423,$A$32:$A$423,Dashboard!$B$4,$B$32:$B$423,Dashboard!$E$4,$C$32:$C$423,Q8)</x:f>
        <x:v>115624.06</x:v>
      </x:c>
      <x:c r="U8" t="n">
        <x:f>SUMIFS($E$32:$E$423,$A$32:$A$423,Dashboard!$B$4,$B$32:$B$423,Dashboard!$E$4,$C$32:$C$423,Q8)</x:f>
        <x:v>1763</x:v>
      </x:c>
      <x:c r="V8" s="19" t="n">
        <x:f>IFERROR(SUMIFS($K$32:$K$423,$A$32:$A$423,Dashboard!$B$4,$B$32:$B$423,Dashboard!$E$4,$C$32:$C$423,Q8)/SUMIFS($D$32:$D$423,$A$32:$A$423,Dashboard!$B$4,$B$32:$B$423,Dashboard!$E$4,$C$32:$C$423,Q8),0)</x:f>
        <x:v>0.5546329496131346</x:v>
      </x:c>
      <x:c r="AG8" t="str">
        <x:v>Men's Footwear</x:v>
      </x:c>
      <x:c r="AH8" s="17" t="n">
        <x:v>2.89175754</x:v>
      </x:c>
    </x:row>
    <x:row r="9">
      <x:c r="A9" s="16" t="str">
        <x:v>All</x:v>
      </x:c>
      <x:c r="B9" s="16" t="str">
        <x:v>Consumer</x:v>
      </x:c>
      <x:c r="C9" s="16" t="n">
        <x:v>93504</x:v>
      </x:c>
      <x:c r="D9" s="16" t="n">
        <x:v>34119</x:v>
      </x:c>
      <x:c r="E9" s="16" t="n">
        <x:v>199234</x:v>
      </x:c>
      <x:c r="F9" s="16" t="n">
        <x:v>19095789.79</x:v>
      </x:c>
      <x:c r="G9" s="16" t="n">
        <x:v>17164278.19</x:v>
      </x:c>
      <x:c r="H9" s="16" t="n">
        <x:v>1931535.7</x:v>
      </x:c>
      <x:c r="I9" s="16" t="n">
        <x:v>2073487.67</x:v>
      </x:c>
      <x:c r="J9" s="16" t="n">
        <x:v>51248</x:v>
      </x:c>
      <x:c r="K9" s="16" t="n">
        <x:v>559.68</x:v>
      </x:c>
      <x:c r="L9" s="16" t="n">
        <x:v>503.07</x:v>
      </x:c>
      <x:c r="M9" s="16" t="n">
        <x:v>0.12080249731724954</x:v>
      </x:c>
      <x:c r="N9" s="16" t="n">
        <x:v>0.5480835044490076</x:v>
      </x:c>
      <x:c r="Q9" t="str">
        <x:v>2015-08</x:v>
      </x:c>
      <x:c r="R9" s="17" t="n">
        <x:f>SUMIFS($G$32:$G$423,$A$32:$A$423,Dashboard!$B$4,$B$32:$B$423,Dashboard!$E$4,$C$32:$C$423,Q9)/1000000</x:f>
        <x:v>1.02949467</x:v>
      </x:c>
      <x:c r="S9" s="18" t="n">
        <x:f>SUMIFS($H$32:$H$423,$A$32:$A$423,Dashboard!$B$4,$B$32:$B$423,Dashboard!$E$4,$C$32:$C$423,Q9)</x:f>
        <x:v>925192.86</x:v>
      </x:c>
      <x:c r="T9" s="18" t="n">
        <x:f>SUMIFS($J$32:$J$423,$A$32:$A$423,Dashboard!$B$4,$B$32:$B$423,Dashboard!$E$4,$C$32:$C$423,Q9)</x:f>
        <x:v>117979.77</x:v>
      </x:c>
      <x:c r="U9" t="n">
        <x:f>SUMIFS($E$32:$E$423,$A$32:$A$423,Dashboard!$B$4,$B$32:$B$423,Dashboard!$E$4,$C$32:$C$423,Q9)</x:f>
        <x:v>1762</x:v>
      </x:c>
      <x:c r="V9" s="19" t="n">
        <x:f>IFERROR(SUMIFS($K$32:$K$423,$A$32:$A$423,Dashboard!$B$4,$B$32:$B$423,Dashboard!$E$4,$C$32:$C$423,Q9)/SUMIFS($D$32:$D$423,$A$32:$A$423,Dashboard!$B$4,$B$32:$B$423,Dashboard!$E$4,$C$32:$C$423,Q9),0)</x:f>
        <x:v>0.5567987862696757</x:v>
      </x:c>
      <x:c r="AG9" t="str">
        <x:v>Indoor/Outdoor Games</x:v>
      </x:c>
      <x:c r="AH9" s="17" t="n">
        <x:v>2.8889939399999998</x:v>
      </x:c>
    </x:row>
    <x:row r="10">
      <x:c r="A10" s="16" t="str">
        <x:v>All</x:v>
      </x:c>
      <x:c r="B10" s="16" t="str">
        <x:v>Corporate</x:v>
      </x:c>
      <x:c r="C10" s="16" t="n">
        <x:v>54789</x:v>
      </x:c>
      <x:c r="D10" s="16" t="n">
        <x:v>19856</x:v>
      </x:c>
      <x:c r="E10" s="16" t="n">
        <x:v>116560</x:v>
      </x:c>
      <x:c r="F10" s="16" t="n">
        <x:v>11168406.63</x:v>
      </x:c>
      <x:c r="G10" s="16" t="n">
        <x:v>10030649.8</x:v>
      </x:c>
      <x:c r="H10" s="16" t="n">
        <x:v>1137770.7</x:v>
      </x:c>
      <x:c r="I10" s="16" t="n">
        <x:v>1202574.96</x:v>
      </x:c>
      <x:c r="J10" s="16" t="n">
        <x:v>29982</x:v>
      </x:c>
      <x:c r="K10" s="16" t="n">
        <x:v>562.47</x:v>
      </x:c>
      <x:c r="L10" s="16" t="n">
        <x:v>505.17</x:v>
      </x:c>
      <x:c r="M10" s="16" t="n">
        <x:v>0.11989003543917962</x:v>
      </x:c>
      <x:c r="N10" s="16" t="n">
        <x:v>0.5472266330832831</x:v>
      </x:c>
      <x:c r="Q10" t="str">
        <x:v>2015-09</x:v>
      </x:c>
      <x:c r="R10" s="17" t="n">
        <x:f>SUMIFS($G$32:$G$423,$A$32:$A$423,Dashboard!$B$4,$B$32:$B$423,Dashboard!$E$4,$C$32:$C$423,Q10)/1000000</x:f>
        <x:v>1.01833858</x:v>
      </x:c>
      <x:c r="S10" s="18" t="n">
        <x:f>SUMIFS($H$32:$H$423,$A$32:$A$423,Dashboard!$B$4,$B$32:$B$423,Dashboard!$E$4,$C$32:$C$423,Q10)</x:f>
        <x:v>914522.36</x:v>
      </x:c>
      <x:c r="T10" s="18" t="n">
        <x:f>SUMIFS($J$32:$J$423,$A$32:$A$423,Dashboard!$B$4,$B$32:$B$423,Dashboard!$E$4,$C$32:$C$423,Q10)</x:f>
        <x:v>113467.94</x:v>
      </x:c>
      <x:c r="U10" t="n">
        <x:f>SUMIFS($E$32:$E$423,$A$32:$A$423,Dashboard!$B$4,$B$32:$B$423,Dashboard!$E$4,$C$32:$C$423,Q10)</x:f>
        <x:v>1706</x:v>
      </x:c>
      <x:c r="V10" s="19" t="n">
        <x:f>IFERROR(SUMIFS($K$32:$K$423,$A$32:$A$423,Dashboard!$B$4,$B$32:$B$423,Dashboard!$E$4,$C$32:$C$423,Q10)/SUMIFS($D$32:$D$423,$A$32:$A$423,Dashboard!$B$4,$B$32:$B$423,Dashboard!$E$4,$C$32:$C$423,Q10),0)</x:f>
        <x:v>0.5669260700389105</x:v>
      </x:c>
    </x:row>
    <x:row r="11">
      <x:c r="A11" s="16" t="str">
        <x:v>All</x:v>
      </x:c>
      <x:c r="B11" s="16" t="str">
        <x:v>Home Office</x:v>
      </x:c>
      <x:c r="C11" s="16" t="n">
        <x:v>32226</x:v>
      </x:c>
      <x:c r="D11" s="16" t="n">
        <x:v>11777</x:v>
      </x:c>
      <x:c r="E11" s="16" t="n">
        <x:v>68285</x:v>
      </x:c>
      <x:c r="F11" s="16" t="n">
        <x:v>6520537.89</x:v>
      </x:c>
      <x:c r="G11" s="16" t="n">
        <x:v>5859474.05</x:v>
      </x:c>
      <x:c r="H11" s="16" t="n">
        <x:v>661072</x:v>
      </x:c>
      <x:c r="I11" s="16" t="n">
        <x:v>690840.34</x:v>
      </x:c>
      <x:c r="J11" s="16" t="n">
        <x:v>17747</x:v>
      </x:c>
      <x:c r="K11" s="16" t="n">
        <x:v>553.67</x:v>
      </x:c>
      <x:c r="L11" s="16" t="n">
        <x:v>497.54</x:v>
      </x:c>
      <x:c r="M11" s="16" t="n">
        <x:v>0.11790142495809841</x:v>
      </x:c>
      <x:c r="N11" s="16" t="n">
        <x:v>0.5507044001737728</x:v>
      </x:c>
      <x:c r="Q11" t="str">
        <x:v>2015-10</x:v>
      </x:c>
      <x:c r="R11" s="17" t="n">
        <x:f>SUMIFS($G$32:$G$423,$A$32:$A$423,Dashboard!$B$4,$B$32:$B$423,Dashboard!$E$4,$C$32:$C$423,Q11)/1000000</x:f>
        <x:v>1.04915425</x:v>
      </x:c>
      <x:c r="S11" s="18" t="n">
        <x:f>SUMIFS($H$32:$H$423,$A$32:$A$423,Dashboard!$B$4,$B$32:$B$423,Dashboard!$E$4,$C$32:$C$423,Q11)</x:f>
        <x:v>943131.09</x:v>
      </x:c>
      <x:c r="T11" s="18" t="n">
        <x:f>SUMIFS($J$32:$J$423,$A$32:$A$423,Dashboard!$B$4,$B$32:$B$423,Dashboard!$E$4,$C$32:$C$423,Q11)</x:f>
        <x:v>101757.87</x:v>
      </x:c>
      <x:c r="U11" t="n">
        <x:f>SUMIFS($E$32:$E$423,$A$32:$A$423,Dashboard!$B$4,$B$32:$B$423,Dashboard!$E$4,$C$32:$C$423,Q11)</x:f>
        <x:v>1775</x:v>
      </x:c>
      <x:c r="V11" s="19" t="n">
        <x:f>IFERROR(SUMIFS($K$32:$K$423,$A$32:$A$423,Dashboard!$B$4,$B$32:$B$423,Dashboard!$E$4,$C$32:$C$423,Q11)/SUMIFS($D$32:$D$423,$A$32:$A$423,Dashboard!$B$4,$B$32:$B$423,Dashboard!$E$4,$C$32:$C$423,Q11),0)</x:f>
        <x:v>0.5480950584685025</x:v>
      </x:c>
    </x:row>
    <x:row r="12">
      <x:c r="A12" s="16" t="str">
        <x:v>Europe</x:v>
      </x:c>
      <x:c r="B12" s="16" t="str">
        <x:v>All</x:v>
      </x:c>
      <x:c r="C12" s="16" t="n">
        <x:v>50252</x:v>
      </x:c>
      <x:c r="D12" s="16" t="n">
        <x:v>18561</x:v>
      </x:c>
      <x:c r="E12" s="16" t="n">
        <x:v>105238</x:v>
      </x:c>
      <x:c r="F12" s="16" t="n">
        <x:v>10872396.6</x:v>
      </x:c>
      <x:c r="G12" s="16" t="n">
        <x:v>9769198.23</x:v>
      </x:c>
      <x:c r="H12" s="16" t="n">
        <x:v>1103210.75</x:v>
      </x:c>
      <x:c r="I12" s="16" t="n">
        <x:v>1169442.96</x:v>
      </x:c>
      <x:c r="J12" s="16" t="n">
        <x:v>27743</x:v>
      </x:c>
      <x:c r="K12" s="16" t="n">
        <x:v>585.77</x:v>
      </x:c>
      <x:c r="L12" s="16" t="n">
        <x:v>526.33</x:v>
      </x:c>
      <x:c r="M12" s="16" t="n">
        <x:v>0.11970715840413446</x:v>
      </x:c>
      <x:c r="N12" s="16" t="n">
        <x:v>0.552077529252567</x:v>
      </x:c>
      <x:c r="Q12" t="str">
        <x:v>2015-11</x:v>
      </x:c>
      <x:c r="R12" s="17" t="n">
        <x:f>SUMIFS($G$32:$G$423,$A$32:$A$423,Dashboard!$B$4,$B$32:$B$423,Dashboard!$E$4,$C$32:$C$423,Q12)/1000000</x:f>
        <x:v>1.02912022</x:v>
      </x:c>
      <x:c r="S12" s="18" t="n">
        <x:f>SUMIFS($H$32:$H$423,$A$32:$A$423,Dashboard!$B$4,$B$32:$B$423,Dashboard!$E$4,$C$32:$C$423,Q12)</x:f>
        <x:v>924602.56</x:v>
      </x:c>
      <x:c r="T12" s="18" t="n">
        <x:f>SUMIFS($J$32:$J$423,$A$32:$A$423,Dashboard!$B$4,$B$32:$B$423,Dashboard!$E$4,$C$32:$C$423,Q12)</x:f>
        <x:v>104427.36</x:v>
      </x:c>
      <x:c r="U12" t="n">
        <x:f>SUMIFS($E$32:$E$423,$A$32:$A$423,Dashboard!$B$4,$B$32:$B$423,Dashboard!$E$4,$C$32:$C$423,Q12)</x:f>
        <x:v>1729</x:v>
      </x:c>
      <x:c r="V12" s="19" t="n">
        <x:f>IFERROR(SUMIFS($K$32:$K$423,$A$32:$A$423,Dashboard!$B$4,$B$32:$B$423,Dashboard!$E$4,$C$32:$C$423,Q12)/SUMIFS($D$32:$D$423,$A$32:$A$423,Dashboard!$B$4,$B$32:$B$423,Dashboard!$E$4,$C$32:$C$423,Q12),0)</x:f>
        <x:v>0.5426934097421203</x:v>
      </x:c>
    </x:row>
    <x:row r="13">
      <x:c r="A13" s="16" t="str">
        <x:v>Europe</x:v>
      </x:c>
      <x:c r="B13" s="16" t="str">
        <x:v>Consumer</x:v>
      </x:c>
      <x:c r="C13" s="16" t="n">
        <x:v>26108</x:v>
      </x:c>
      <x:c r="D13" s="16" t="n">
        <x:v>9639</x:v>
      </x:c>
      <x:c r="E13" s="16" t="n">
        <x:v>54869</x:v>
      </x:c>
      <x:c r="F13" s="16" t="n">
        <x:v>5671565.25</x:v>
      </x:c>
      <x:c r="G13" s="16" t="n">
        <x:v>5097708.98</x:v>
      </x:c>
      <x:c r="H13" s="16" t="n">
        <x:v>573862.58</x:v>
      </x:c>
      <x:c r="I13" s="16" t="n">
        <x:v>627099</x:v>
      </x:c>
      <x:c r="J13" s="16" t="n">
        <x:v>14527</x:v>
      </x:c>
      <x:c r="K13" s="16" t="n">
        <x:v>588.4</x:v>
      </x:c>
      <x:c r="L13" s="16" t="n">
        <x:v>528.86</x:v>
      </x:c>
      <x:c r="M13" s="16" t="n">
        <x:v>0.1230158493669052</x:v>
      </x:c>
      <x:c r="N13" s="16" t="n">
        <x:v>0.5564194882794545</x:v>
      </x:c>
      <x:c r="Q13" t="str">
        <x:v>2015-12</x:v>
      </x:c>
      <x:c r="R13" s="17" t="n">
        <x:f>SUMIFS($G$32:$G$423,$A$32:$A$423,Dashboard!$B$4,$B$32:$B$423,Dashboard!$E$4,$C$32:$C$423,Q13)/1000000</x:f>
        <x:v>1.05784086</x:v>
      </x:c>
      <x:c r="S13" s="18" t="n">
        <x:f>SUMIFS($H$32:$H$423,$A$32:$A$423,Dashboard!$B$4,$B$32:$B$423,Dashboard!$E$4,$C$32:$C$423,Q13)</x:f>
        <x:v>950526.91</x:v>
      </x:c>
      <x:c r="T13" s="18" t="n">
        <x:f>SUMIFS($J$32:$J$423,$A$32:$A$423,Dashboard!$B$4,$B$32:$B$423,Dashboard!$E$4,$C$32:$C$423,Q13)</x:f>
        <x:v>110641.55</x:v>
      </x:c>
      <x:c r="U13" t="n">
        <x:f>SUMIFS($E$32:$E$423,$A$32:$A$423,Dashboard!$B$4,$B$32:$B$423,Dashboard!$E$4,$C$32:$C$423,Q13)</x:f>
        <x:v>1805</x:v>
      </x:c>
      <x:c r="V13" s="19" t="n">
        <x:f>IFERROR(SUMIFS($K$32:$K$423,$A$32:$A$423,Dashboard!$B$4,$B$32:$B$423,Dashboard!$E$4,$C$32:$C$423,Q13)/SUMIFS($D$32:$D$423,$A$32:$A$423,Dashboard!$B$4,$B$32:$B$423,Dashboard!$E$4,$C$32:$C$423,Q13),0)</x:f>
        <x:v>0.5468255445913238</x:v>
      </x:c>
    </x:row>
    <x:row r="14">
      <x:c r="A14" s="16" t="str">
        <x:v>Europe</x:v>
      </x:c>
      <x:c r="B14" s="16" t="str">
        <x:v>Corporate</x:v>
      </x:c>
      <x:c r="C14" s="16" t="n">
        <x:v>15313</x:v>
      </x:c>
      <x:c r="D14" s="16" t="n">
        <x:v>5617</x:v>
      </x:c>
      <x:c r="E14" s="16" t="n">
        <x:v>31920</x:v>
      </x:c>
      <x:c r="F14" s="16" t="n">
        <x:v>3303070.61</x:v>
      </x:c>
      <x:c r="G14" s="16" t="n">
        <x:v>2968303.71</x:v>
      </x:c>
      <x:c r="H14" s="16" t="n">
        <x:v>334770.71</x:v>
      </x:c>
      <x:c r="I14" s="16" t="n">
        <x:v>355412.12</x:v>
      </x:c>
      <x:c r="J14" s="16" t="n">
        <x:v>8290</x:v>
      </x:c>
      <x:c r="K14" s="16" t="n">
        <x:v>588.05</x:v>
      </x:c>
      <x:c r="L14" s="16" t="n">
        <x:v>528.45</x:v>
      </x:c>
      <x:c r="M14" s="16" t="n">
        <x:v>0.11973576652639767</x:v>
      </x:c>
      <x:c r="N14" s="16" t="n">
        <x:v>0.5413700777117482</x:v>
      </x:c>
      <x:c r="Q14" t="str">
        <x:v>2016-01</x:v>
      </x:c>
      <x:c r="R14" s="17" t="n">
        <x:f>SUMIFS($G$32:$G$423,$A$32:$A$423,Dashboard!$B$4,$B$32:$B$423,Dashboard!$E$4,$C$32:$C$423,Q14)/1000000</x:f>
        <x:v>1.04630823</x:v>
      </x:c>
      <x:c r="S14" s="18" t="n">
        <x:f>SUMIFS($H$32:$H$423,$A$32:$A$423,Dashboard!$B$4,$B$32:$B$423,Dashboard!$E$4,$C$32:$C$423,Q14)</x:f>
        <x:v>940283.62</x:v>
      </x:c>
      <x:c r="T14" s="18" t="n">
        <x:f>SUMIFS($J$32:$J$423,$A$32:$A$423,Dashboard!$B$4,$B$32:$B$423,Dashboard!$E$4,$C$32:$C$423,Q14)</x:f>
        <x:v>106780.95</x:v>
      </x:c>
      <x:c r="U14" t="n">
        <x:f>SUMIFS($E$32:$E$423,$A$32:$A$423,Dashboard!$B$4,$B$32:$B$423,Dashboard!$E$4,$C$32:$C$423,Q14)</x:f>
        <x:v>1772</x:v>
      </x:c>
      <x:c r="V14" s="19" t="n">
        <x:f>IFERROR(SUMIFS($K$32:$K$423,$A$32:$A$423,Dashboard!$B$4,$B$32:$B$423,Dashboard!$E$4,$C$32:$C$423,Q14)/SUMIFS($D$32:$D$423,$A$32:$A$423,Dashboard!$B$4,$B$32:$B$423,Dashboard!$E$4,$C$32:$C$423,Q14),0)</x:f>
        <x:v>0.5557645288696633</x:v>
      </x:c>
    </x:row>
    <x:row r="15">
      <x:c r="A15" s="16" t="str">
        <x:v>Europe</x:v>
      </x:c>
      <x:c r="B15" s="16" t="str">
        <x:v>Home Office</x:v>
      </x:c>
      <x:c r="C15" s="16" t="n">
        <x:v>8831</x:v>
      </x:c>
      <x:c r="D15" s="16" t="n">
        <x:v>3305</x:v>
      </x:c>
      <x:c r="E15" s="16" t="n">
        <x:v>18449</x:v>
      </x:c>
      <x:c r="F15" s="16" t="n">
        <x:v>1897760.74</x:v>
      </x:c>
      <x:c r="G15" s="16" t="n">
        <x:v>1703185.54</x:v>
      </x:c>
      <x:c r="H15" s="16" t="n">
        <x:v>194577.46</x:v>
      </x:c>
      <x:c r="I15" s="16" t="n">
        <x:v>186931.84</x:v>
      </x:c>
      <x:c r="J15" s="16" t="n">
        <x:v>4926</x:v>
      </x:c>
      <x:c r="K15" s="16" t="n">
        <x:v>574.21</x:v>
      </x:c>
      <x:c r="L15" s="16" t="n">
        <x:v>515.34</x:v>
      </x:c>
      <x:c r="M15" s="16" t="n">
        <x:v>0.10975424321650828</x:v>
      </x:c>
      <x:c r="N15" s="16" t="n">
        <x:v>0.5578077227947005</x:v>
      </x:c>
      <x:c r="Q15" t="str">
        <x:v>2016-02</x:v>
      </x:c>
      <x:c r="R15" s="17" t="n">
        <x:f>SUMIFS($G$32:$G$423,$A$32:$A$423,Dashboard!$B$4,$B$32:$B$423,Dashboard!$E$4,$C$32:$C$423,Q15)/1000000</x:f>
        <x:v>0.96854283</x:v>
      </x:c>
      <x:c r="S15" s="18" t="n">
        <x:f>SUMIFS($H$32:$H$423,$A$32:$A$423,Dashboard!$B$4,$B$32:$B$423,Dashboard!$E$4,$C$32:$C$423,Q15)</x:f>
        <x:v>870116.74</x:v>
      </x:c>
      <x:c r="T15" s="18" t="n">
        <x:f>SUMIFS($J$32:$J$423,$A$32:$A$423,Dashboard!$B$4,$B$32:$B$423,Dashboard!$E$4,$C$32:$C$423,Q15)</x:f>
        <x:v>86809.49</x:v>
      </x:c>
      <x:c r="U15" t="n">
        <x:f>SUMIFS($E$32:$E$423,$A$32:$A$423,Dashboard!$B$4,$B$32:$B$423,Dashboard!$E$4,$C$32:$C$423,Q15)</x:f>
        <x:v>1650</x:v>
      </x:c>
      <x:c r="V15" s="19" t="n">
        <x:f>IFERROR(SUMIFS($K$32:$K$423,$A$32:$A$423,Dashboard!$B$4,$B$32:$B$423,Dashboard!$E$4,$C$32:$C$423,Q15)/SUMIFS($D$32:$D$423,$A$32:$A$423,Dashboard!$B$4,$B$32:$B$423,Dashboard!$E$4,$C$32:$C$423,Q15),0)</x:f>
        <x:v>0.5414793624846751</x:v>
      </x:c>
    </x:row>
    <x:row r="16">
      <x:c r="A16" s="16" t="str">
        <x:v>LATAM</x:v>
      </x:c>
      <x:c r="B16" s="16" t="str">
        <x:v>All</x:v>
      </x:c>
      <x:c r="C16" s="16" t="n">
        <x:v>51594</x:v>
      </x:c>
      <x:c r="D16" s="16" t="n">
        <x:v>17181</x:v>
      </x:c>
      <x:c r="E16" s="16" t="n">
        <x:v>112942</x:v>
      </x:c>
      <x:c r="F16" s="16" t="n">
        <x:v>10277612.64</x:v>
      </x:c>
      <x:c r="G16" s="16" t="n">
        <x:v>9235761.99</x:v>
      </x:c>
      <x:c r="H16" s="16" t="n">
        <x:v>1041863.15</x:v>
      </x:c>
      <x:c r="I16" s="16" t="n">
        <x:v>1123321.61</x:v>
      </x:c>
      <x:c r="J16" s="16" t="n">
        <x:v>28044</x:v>
      </x:c>
      <x:c r="K16" s="16" t="n">
        <x:v>598.2</x:v>
      </x:c>
      <x:c r="L16" s="16" t="n">
        <x:v>537.56</x:v>
      </x:c>
      <x:c r="M16" s="16" t="n">
        <x:v>0.12162738832120988</x:v>
      </x:c>
      <x:c r="N16" s="16" t="n">
        <x:v>0.5435515757646238</x:v>
      </x:c>
      <x:c r="Q16" t="str">
        <x:v>2016-03</x:v>
      </x:c>
      <x:c r="R16" s="17" t="n">
        <x:f>SUMIFS($G$32:$G$423,$A$32:$A$423,Dashboard!$B$4,$B$32:$B$423,Dashboard!$E$4,$C$32:$C$423,Q16)/1000000</x:f>
        <x:v>1.0258531</x:v>
      </x:c>
      <x:c r="S16" s="18" t="n">
        <x:f>SUMIFS($H$32:$H$423,$A$32:$A$423,Dashboard!$B$4,$B$32:$B$423,Dashboard!$E$4,$C$32:$C$423,Q16)</x:f>
        <x:v>921487.72</x:v>
      </x:c>
      <x:c r="T16" s="18" t="n">
        <x:f>SUMIFS($J$32:$J$423,$A$32:$A$423,Dashboard!$B$4,$B$32:$B$423,Dashboard!$E$4,$C$32:$C$423,Q16)</x:f>
        <x:v>101259.99</x:v>
      </x:c>
      <x:c r="U16" t="n">
        <x:f>SUMIFS($E$32:$E$423,$A$32:$A$423,Dashboard!$B$4,$B$32:$B$423,Dashboard!$E$4,$C$32:$C$423,Q16)</x:f>
        <x:v>1764</x:v>
      </x:c>
      <x:c r="V16" s="19" t="n">
        <x:f>IFERROR(SUMIFS($K$32:$K$423,$A$32:$A$423,Dashboard!$B$4,$B$32:$B$423,Dashboard!$E$4,$C$32:$C$423,Q16)/SUMIFS($D$32:$D$423,$A$32:$A$423,Dashboard!$B$4,$B$32:$B$423,Dashboard!$E$4,$C$32:$C$423,Q16),0)</x:f>
        <x:v>0.5575815738963532</x:v>
      </x:c>
    </x:row>
    <x:row r="17">
      <x:c r="A17" s="16" t="str">
        <x:v>LATAM</x:v>
      </x:c>
      <x:c r="B17" s="16" t="str">
        <x:v>Consumer</x:v>
      </x:c>
      <x:c r="C17" s="16" t="n">
        <x:v>26598</x:v>
      </x:c>
      <x:c r="D17" s="16" t="n">
        <x:v>8884</x:v>
      </x:c>
      <x:c r="E17" s="16" t="n">
        <x:v>58345</x:v>
      </x:c>
      <x:c r="F17" s="16" t="n">
        <x:v>5289638.68</x:v>
      </x:c>
      <x:c r="G17" s="16" t="n">
        <x:v>4754728.35</x:v>
      </x:c>
      <x:c r="H17" s="16" t="n">
        <x:v>534916.97</x:v>
      </x:c>
      <x:c r="I17" s="16" t="n">
        <x:v>568246.21</x:v>
      </x:c>
      <x:c r="J17" s="16" t="n">
        <x:v>14525</x:v>
      </x:c>
      <x:c r="K17" s="16" t="n">
        <x:v>595.41</x:v>
      </x:c>
      <x:c r="L17" s="16" t="n">
        <x:v>535.2</x:v>
      </x:c>
      <x:c r="M17" s="16" t="n">
        <x:v>0.11951181396093849</x:v>
      </x:c>
      <x:c r="N17" s="16" t="n">
        <x:v>0.5460936912549815</x:v>
      </x:c>
      <x:c r="Q17" t="str">
        <x:v>2016-04</x:v>
      </x:c>
      <x:c r="R17" s="17" t="n">
        <x:f>SUMIFS($G$32:$G$423,$A$32:$A$423,Dashboard!$B$4,$B$32:$B$423,Dashboard!$E$4,$C$32:$C$423,Q17)/1000000</x:f>
        <x:v>1.00121156</x:v>
      </x:c>
      <x:c r="S17" s="18" t="n">
        <x:f>SUMIFS($H$32:$H$423,$A$32:$A$423,Dashboard!$B$4,$B$32:$B$423,Dashboard!$E$4,$C$32:$C$423,Q17)</x:f>
        <x:v>900492.91</x:v>
      </x:c>
      <x:c r="T17" s="18" t="n">
        <x:f>SUMIFS($J$32:$J$423,$A$32:$A$423,Dashboard!$B$4,$B$32:$B$423,Dashboard!$E$4,$C$32:$C$423,Q17)</x:f>
        <x:v>114976.62</x:v>
      </x:c>
      <x:c r="U17" t="n">
        <x:f>SUMIFS($E$32:$E$423,$A$32:$A$423,Dashboard!$B$4,$B$32:$B$423,Dashboard!$E$4,$C$32:$C$423,Q17)</x:f>
        <x:v>1706</x:v>
      </x:c>
      <x:c r="V17" s="19" t="n">
        <x:f>IFERROR(SUMIFS($K$32:$K$423,$A$32:$A$423,Dashboard!$B$4,$B$32:$B$423,Dashboard!$E$4,$C$32:$C$423,Q17)/SUMIFS($D$32:$D$423,$A$32:$A$423,Dashboard!$B$4,$B$32:$B$423,Dashboard!$E$4,$C$32:$C$423,Q17),0)</x:f>
        <x:v>0.5522856582303316</x:v>
      </x:c>
    </x:row>
    <x:row r="18">
      <x:c r="A18" s="16" t="str">
        <x:v>LATAM</x:v>
      </x:c>
      <x:c r="B18" s="16" t="str">
        <x:v>Corporate</x:v>
      </x:c>
      <x:c r="C18" s="16" t="n">
        <x:v>15699</x:v>
      </x:c>
      <x:c r="D18" s="16" t="n">
        <x:v>5184</x:v>
      </x:c>
      <x:c r="E18" s="16" t="n">
        <x:v>34457</x:v>
      </x:c>
      <x:c r="F18" s="16" t="n">
        <x:v>3139114.78</x:v>
      </x:c>
      <x:c r="G18" s="16" t="n">
        <x:v>2818496.73</x:v>
      </x:c>
      <x:c r="H18" s="16" t="n">
        <x:v>320621.94</x:v>
      </x:c>
      <x:c r="I18" s="16" t="n">
        <x:v>350573.82</x:v>
      </x:c>
      <x:c r="J18" s="16" t="n">
        <x:v>8453</x:v>
      </x:c>
      <x:c r="K18" s="16" t="n">
        <x:v>605.54</x:v>
      </x:c>
      <x:c r="L18" s="16" t="n">
        <x:v>543.69</x:v>
      </x:c>
      <x:c r="M18" s="16" t="n">
        <x:v>0.12438326298856484</x:v>
      </x:c>
      <x:c r="N18" s="16" t="n">
        <x:v>0.5384419389770049</x:v>
      </x:c>
      <x:c r="Q18" t="str">
        <x:v>2016-05</x:v>
      </x:c>
      <x:c r="R18" s="17" t="n">
        <x:f>SUMIFS($G$32:$G$423,$A$32:$A$423,Dashboard!$B$4,$B$32:$B$423,Dashboard!$E$4,$C$32:$C$423,Q18)/1000000</x:f>
        <x:v>1.02940018</x:v>
      </x:c>
      <x:c r="S18" s="18" t="n">
        <x:f>SUMIFS($H$32:$H$423,$A$32:$A$423,Dashboard!$B$4,$B$32:$B$423,Dashboard!$E$4,$C$32:$C$423,Q18)</x:f>
        <x:v>924978.21</x:v>
      </x:c>
      <x:c r="T18" s="18" t="n">
        <x:f>SUMIFS($J$32:$J$423,$A$32:$A$423,Dashboard!$B$4,$B$32:$B$423,Dashboard!$E$4,$C$32:$C$423,Q18)</x:f>
        <x:v>110716.12</x:v>
      </x:c>
      <x:c r="U18" t="n">
        <x:f>SUMIFS($E$32:$E$423,$A$32:$A$423,Dashboard!$B$4,$B$32:$B$423,Dashboard!$E$4,$C$32:$C$423,Q18)</x:f>
        <x:v>1763</x:v>
      </x:c>
      <x:c r="V18" s="19" t="n">
        <x:f>IFERROR(SUMIFS($K$32:$K$423,$A$32:$A$423,Dashboard!$B$4,$B$32:$B$423,Dashboard!$E$4,$C$32:$C$423,Q18)/SUMIFS($D$32:$D$423,$A$32:$A$423,Dashboard!$B$4,$B$32:$B$423,Dashboard!$E$4,$C$32:$C$423,Q18),0)</x:f>
        <x:v>0.5565824217276499</x:v>
      </x:c>
    </x:row>
    <x:row r="19">
      <x:c r="A19" s="16" t="str">
        <x:v>LATAM</x:v>
      </x:c>
      <x:c r="B19" s="16" t="str">
        <x:v>Home Office</x:v>
      </x:c>
      <x:c r="C19" s="16" t="n">
        <x:v>9297</x:v>
      </x:c>
      <x:c r="D19" s="16" t="n">
        <x:v>3113</x:v>
      </x:c>
      <x:c r="E19" s="16" t="n">
        <x:v>20140</x:v>
      </x:c>
      <x:c r="F19" s="16" t="n">
        <x:v>1848859.18</x:v>
      </x:c>
      <x:c r="G19" s="16" t="n">
        <x:v>1662536.91</x:v>
      </x:c>
      <x:c r="H19" s="16" t="n">
        <x:v>186324.24</x:v>
      </x:c>
      <x:c r="I19" s="16" t="n">
        <x:v>204501.58</x:v>
      </x:c>
      <x:c r="J19" s="16" t="n">
        <x:v>5066</x:v>
      </x:c>
      <x:c r="K19" s="16" t="n">
        <x:v>593.92</x:v>
      </x:c>
      <x:c r="L19" s="16" t="n">
        <x:v>534.06</x:v>
      </x:c>
      <x:c r="M19" s="16" t="n">
        <x:v>0.12300573826057191</x:v>
      </x:c>
      <x:c r="N19" s="16" t="n">
        <x:v>0.5449069592341615</x:v>
      </x:c>
      <x:c r="Q19" t="str">
        <x:v>2016-06</x:v>
      </x:c>
      <x:c r="R19" s="17" t="n">
        <x:f>SUMIFS($G$32:$G$423,$A$32:$A$423,Dashboard!$B$4,$B$32:$B$423,Dashboard!$E$4,$C$32:$C$423,Q19)/1000000</x:f>
        <x:v>1.00305953</x:v>
      </x:c>
      <x:c r="S19" s="18" t="n">
        <x:f>SUMIFS($H$32:$H$423,$A$32:$A$423,Dashboard!$B$4,$B$32:$B$423,Dashboard!$E$4,$C$32:$C$423,Q19)</x:f>
        <x:v>901448</x:v>
      </x:c>
      <x:c r="T19" s="18" t="n">
        <x:f>SUMIFS($J$32:$J$423,$A$32:$A$423,Dashboard!$B$4,$B$32:$B$423,Dashboard!$E$4,$C$32:$C$423,Q19)</x:f>
        <x:v>104196.07</x:v>
      </x:c>
      <x:c r="U19" t="n">
        <x:f>SUMIFS($E$32:$E$423,$A$32:$A$423,Dashboard!$B$4,$B$32:$B$423,Dashboard!$E$4,$C$32:$C$423,Q19)</x:f>
        <x:v>1690</x:v>
      </x:c>
      <x:c r="V19" s="19" t="n">
        <x:f>IFERROR(SUMIFS($K$32:$K$423,$A$32:$A$423,Dashboard!$B$4,$B$32:$B$423,Dashboard!$E$4,$C$32:$C$423,Q19)/SUMIFS($D$32:$D$423,$A$32:$A$423,Dashboard!$B$4,$B$32:$B$423,Dashboard!$E$4,$C$32:$C$423,Q19),0)</x:f>
        <x:v>0.5684606252473289</x:v>
      </x:c>
    </x:row>
    <x:row r="20">
      <x:c r="A20" s="16" t="str">
        <x:v>Pacific Asia</x:v>
      </x:c>
      <x:c r="B20" s="16" t="str">
        <x:v>All</x:v>
      </x:c>
      <x:c r="C20" s="16" t="n">
        <x:v>41260</x:v>
      </x:c>
      <x:c r="D20" s="16" t="n">
        <x:v>17577</x:v>
      </x:c>
      <x:c r="E20" s="16" t="n">
        <x:v>83680</x:v>
      </x:c>
      <x:c r="F20" s="16" t="n">
        <x:v>8273743.58</x:v>
      </x:c>
      <x:c r="G20" s="16" t="n">
        <x:v>7434262.58</x:v>
      </x:c>
      <x:c r="H20" s="16" t="n">
        <x:v>839493.31</x:v>
      </x:c>
      <x:c r="I20" s="16" t="n">
        <x:v>857753.44</x:v>
      </x:c>
      <x:c r="J20" s="16" t="n">
        <x:v>22712</x:v>
      </x:c>
      <x:c r="K20" s="16" t="n">
        <x:v>470.71</x:v>
      </x:c>
      <x:c r="L20" s="16" t="n">
        <x:v>422.95</x:v>
      </x:c>
      <x:c r="M20" s="16" t="n">
        <x:v>0.11537841591815283</x:v>
      </x:c>
      <x:c r="N20" s="16" t="n">
        <x:v>0.5504604944255937</x:v>
      </x:c>
      <x:c r="Q20" t="str">
        <x:v>2016-07</x:v>
      </x:c>
      <x:c r="R20" s="17" t="n">
        <x:f>SUMIFS($G$32:$G$423,$A$32:$A$423,Dashboard!$B$4,$B$32:$B$423,Dashboard!$E$4,$C$32:$C$423,Q20)/1000000</x:f>
        <x:v>1.0457156</x:v>
      </x:c>
      <x:c r="S20" s="18" t="n">
        <x:f>SUMIFS($H$32:$H$423,$A$32:$A$423,Dashboard!$B$4,$B$32:$B$423,Dashboard!$E$4,$C$32:$C$423,Q20)</x:f>
        <x:v>939216.39</x:v>
      </x:c>
      <x:c r="T20" s="18" t="n">
        <x:f>SUMIFS($J$32:$J$423,$A$32:$A$423,Dashboard!$B$4,$B$32:$B$423,Dashboard!$E$4,$C$32:$C$423,Q20)</x:f>
        <x:v>119941.72</x:v>
      </x:c>
      <x:c r="U20" t="n">
        <x:f>SUMIFS($E$32:$E$423,$A$32:$A$423,Dashboard!$B$4,$B$32:$B$423,Dashboard!$E$4,$C$32:$C$423,Q20)</x:f>
        <x:v>1758</x:v>
      </x:c>
      <x:c r="V20" s="19" t="n">
        <x:f>IFERROR(SUMIFS($K$32:$K$423,$A$32:$A$423,Dashboard!$B$4,$B$32:$B$423,Dashboard!$E$4,$C$32:$C$423,Q20)/SUMIFS($D$32:$D$423,$A$32:$A$423,Dashboard!$B$4,$B$32:$B$423,Dashboard!$E$4,$C$32:$C$423,Q20),0)</x:f>
        <x:v>0.5193213949104618</x:v>
      </x:c>
    </x:row>
    <x:row r="21">
      <x:c r="A21" s="16" t="str">
        <x:v>Pacific Asia</x:v>
      </x:c>
      <x:c r="B21" s="16" t="str">
        <x:v>Consumer</x:v>
      </x:c>
      <x:c r="C21" s="16" t="n">
        <x:v>21284</x:v>
      </x:c>
      <x:c r="D21" s="16" t="n">
        <x:v>9078</x:v>
      </x:c>
      <x:c r="E21" s="16" t="n">
        <x:v>43386</x:v>
      </x:c>
      <x:c r="F21" s="16" t="n">
        <x:v>4286860.63</x:v>
      </x:c>
      <x:c r="G21" s="16" t="n">
        <x:v>3853807.21</x:v>
      </x:c>
      <x:c r="H21" s="16" t="n">
        <x:v>433059.84</x:v>
      </x:c>
      <x:c r="I21" s="16" t="n">
        <x:v>445629.43</x:v>
      </x:c>
      <x:c r="J21" s="16" t="n">
        <x:v>11592</x:v>
      </x:c>
      <x:c r="K21" s="16" t="n">
        <x:v>472.23</x:v>
      </x:c>
      <x:c r="L21" s="16" t="n">
        <x:v>424.52</x:v>
      </x:c>
      <x:c r="M21" s="16" t="n">
        <x:v>0.1156335555249532</x:v>
      </x:c>
      <x:c r="N21" s="16" t="n">
        <x:v>0.5446344672054125</x:v>
      </x:c>
      <x:c r="Q21" t="str">
        <x:v>2016-08</x:v>
      </x:c>
      <x:c r="R21" s="17" t="n">
        <x:f>SUMIFS($G$32:$G$423,$A$32:$A$423,Dashboard!$B$4,$B$32:$B$423,Dashboard!$E$4,$C$32:$C$423,Q21)/1000000</x:f>
        <x:v>1.04820023</x:v>
      </x:c>
      <x:c r="S21" s="18" t="n">
        <x:f>SUMIFS($H$32:$H$423,$A$32:$A$423,Dashboard!$B$4,$B$32:$B$423,Dashboard!$E$4,$C$32:$C$423,Q21)</x:f>
        <x:v>942408.93</x:v>
      </x:c>
      <x:c r="T21" s="18" t="n">
        <x:f>SUMIFS($J$32:$J$423,$A$32:$A$423,Dashboard!$B$4,$B$32:$B$423,Dashboard!$E$4,$C$32:$C$423,Q21)</x:f>
        <x:v>110729.54</x:v>
      </x:c>
      <x:c r="U21" t="n">
        <x:f>SUMIFS($E$32:$E$423,$A$32:$A$423,Dashboard!$B$4,$B$32:$B$423,Dashboard!$E$4,$C$32:$C$423,Q21)</x:f>
        <x:v>1766</x:v>
      </x:c>
      <x:c r="V21" s="19" t="n">
        <x:f>IFERROR(SUMIFS($K$32:$K$423,$A$32:$A$423,Dashboard!$B$4,$B$32:$B$423,Dashboard!$E$4,$C$32:$C$423,Q21)/SUMIFS($D$32:$D$423,$A$32:$A$423,Dashboard!$B$4,$B$32:$B$423,Dashboard!$E$4,$C$32:$C$423,Q21),0)</x:f>
        <x:v>0.5526809148856393</x:v>
      </x:c>
    </x:row>
    <x:row r="22">
      <x:c r="A22" s="16" t="str">
        <x:v>Pacific Asia</x:v>
      </x:c>
      <x:c r="B22" s="16" t="str">
        <x:v>Corporate</x:v>
      </x:c>
      <x:c r="C22" s="16" t="n">
        <x:v>12508</x:v>
      </x:c>
      <x:c r="D22" s="16" t="n">
        <x:v>5318</x:v>
      </x:c>
      <x:c r="E22" s="16" t="n">
        <x:v>25217</x:v>
      </x:c>
      <x:c r="F22" s="16" t="n">
        <x:v>2515592.54</x:v>
      </x:c>
      <x:c r="G22" s="16" t="n">
        <x:v>2257029.98</x:v>
      </x:c>
      <x:c r="H22" s="16" t="n">
        <x:v>258566.13</x:v>
      </x:c>
      <x:c r="I22" s="16" t="n">
        <x:v>258109.51</x:v>
      </x:c>
      <x:c r="J22" s="16" t="n">
        <x:v>7011</x:v>
      </x:c>
      <x:c r="K22" s="16" t="n">
        <x:v>473.03</x:v>
      </x:c>
      <x:c r="L22" s="16" t="n">
        <x:v>424.41</x:v>
      </x:c>
      <x:c r="M22" s="16" t="n">
        <x:v>0.11435803347193466</x:v>
      </x:c>
      <x:c r="N22" s="16" t="n">
        <x:v>0.5605212663895107</x:v>
      </x:c>
      <x:c r="Q22" t="str">
        <x:v>2016-09</x:v>
      </x:c>
      <x:c r="R22" s="17" t="n">
        <x:f>SUMIFS($G$32:$G$423,$A$32:$A$423,Dashboard!$B$4,$B$32:$B$423,Dashboard!$E$4,$C$32:$C$423,Q22)/1000000</x:f>
        <x:v>1.00239702</x:v>
      </x:c>
      <x:c r="S22" s="18" t="n">
        <x:f>SUMIFS($H$32:$H$423,$A$32:$A$423,Dashboard!$B$4,$B$32:$B$423,Dashboard!$E$4,$C$32:$C$423,Q22)</x:f>
        <x:v>900371.62</x:v>
      </x:c>
      <x:c r="T22" s="18" t="n">
        <x:f>SUMIFS($J$32:$J$423,$A$32:$A$423,Dashboard!$B$4,$B$32:$B$423,Dashboard!$E$4,$C$32:$C$423,Q22)</x:f>
        <x:v>123384.71</x:v>
      </x:c>
      <x:c r="U22" t="n">
        <x:f>SUMIFS($E$32:$E$423,$A$32:$A$423,Dashboard!$B$4,$B$32:$B$423,Dashboard!$E$4,$C$32:$C$423,Q22)</x:f>
        <x:v>1730</x:v>
      </x:c>
      <x:c r="V22" s="19" t="n">
        <x:f>IFERROR(SUMIFS($K$32:$K$423,$A$32:$A$423,Dashboard!$B$4,$B$32:$B$423,Dashboard!$E$4,$C$32:$C$423,Q22)/SUMIFS($D$32:$D$423,$A$32:$A$423,Dashboard!$B$4,$B$32:$B$423,Dashboard!$E$4,$C$32:$C$423,Q22),0)</x:f>
        <x:v>0.5498062015503876</x:v>
      </x:c>
    </x:row>
    <x:row r="23">
      <x:c r="A23" s="16" t="str">
        <x:v>Pacific Asia</x:v>
      </x:c>
      <x:c r="B23" s="16" t="str">
        <x:v>Home Office</x:v>
      </x:c>
      <x:c r="C23" s="16" t="n">
        <x:v>7468</x:v>
      </x:c>
      <x:c r="D23" s="16" t="n">
        <x:v>3181</x:v>
      </x:c>
      <x:c r="E23" s="16" t="n">
        <x:v>15077</x:v>
      </x:c>
      <x:c r="F23" s="16" t="n">
        <x:v>1471290.41</x:v>
      </x:c>
      <x:c r="G23" s="16" t="n">
        <x:v>1323425.39</x:v>
      </x:c>
      <x:c r="H23" s="16" t="n">
        <x:v>147867.34</x:v>
      </x:c>
      <x:c r="I23" s="16" t="n">
        <x:v>154014.5</x:v>
      </x:c>
      <x:c r="J23" s="16" t="n">
        <x:v>4109</x:v>
      </x:c>
      <x:c r="K23" s="16" t="n">
        <x:v>462.52</x:v>
      </x:c>
      <x:c r="L23" s="16" t="n">
        <x:v>416.04</x:v>
      </x:c>
      <x:c r="M23" s="16" t="n">
        <x:v>0.11637565756540305</x:v>
      </x:c>
      <x:c r="N23" s="16" t="n">
        <x:v>0.5502142474558115</x:v>
      </x:c>
      <x:c r="Q23" t="str">
        <x:v>2016-10</x:v>
      </x:c>
      <x:c r="R23" s="17" t="n">
        <x:f>SUMIFS($G$32:$G$423,$A$32:$A$423,Dashboard!$B$4,$B$32:$B$423,Dashboard!$E$4,$C$32:$C$423,Q23)/1000000</x:f>
        <x:v>1.0481305300000001</x:v>
      </x:c>
      <x:c r="S23" s="18" t="n">
        <x:f>SUMIFS($H$32:$H$423,$A$32:$A$423,Dashboard!$B$4,$B$32:$B$423,Dashboard!$E$4,$C$32:$C$423,Q23)</x:f>
        <x:v>941882.27</x:v>
      </x:c>
      <x:c r="T23" s="18" t="n">
        <x:f>SUMIFS($J$32:$J$423,$A$32:$A$423,Dashboard!$B$4,$B$32:$B$423,Dashboard!$E$4,$C$32:$C$423,Q23)</x:f>
        <x:v>116781.97</x:v>
      </x:c>
      <x:c r="U23" t="n">
        <x:f>SUMIFS($E$32:$E$423,$A$32:$A$423,Dashboard!$B$4,$B$32:$B$423,Dashboard!$E$4,$C$32:$C$423,Q23)</x:f>
        <x:v>1776</x:v>
      </x:c>
      <x:c r="V23" s="19" t="n">
        <x:f>IFERROR(SUMIFS($K$32:$K$423,$A$32:$A$423,Dashboard!$B$4,$B$32:$B$423,Dashboard!$E$4,$C$32:$C$423,Q23)/SUMIFS($D$32:$D$423,$A$32:$A$423,Dashboard!$B$4,$B$32:$B$423,Dashboard!$E$4,$C$32:$C$423,Q23),0)</x:f>
        <x:v>0.547795479807336</x:v>
      </x:c>
    </x:row>
    <x:row r="24">
      <x:c r="A24" s="16" t="str">
        <x:v>USCA</x:v>
      </x:c>
      <x:c r="B24" s="16" t="str">
        <x:v>All</x:v>
      </x:c>
      <x:c r="C24" s="16" t="n">
        <x:v>25799</x:v>
      </x:c>
      <x:c r="D24" s="16" t="n">
        <x:v>8579</x:v>
      </x:c>
      <x:c r="E24" s="16" t="n">
        <x:v>56616</x:v>
      </x:c>
      <x:c r="F24" s="16" t="n">
        <x:v>5066528.61</x:v>
      </x:c>
      <x:c r="G24" s="16" t="n">
        <x:v>4553499.87</x:v>
      </x:c>
      <x:c r="H24" s="16" t="n">
        <x:v>513034.82</x:v>
      </x:c>
      <x:c r="I24" s="16" t="n">
        <x:v>564313.78</x:v>
      </x:c>
      <x:c r="J24" s="16" t="n">
        <x:v>14138</x:v>
      </x:c>
      <x:c r="K24" s="16" t="n">
        <x:v>590.57</x:v>
      </x:c>
      <x:c r="L24" s="16" t="n">
        <x:v>530.77</x:v>
      </x:c>
      <x:c r="M24" s="16" t="n">
        <x:v>0.12392967961147652</x:v>
      </x:c>
      <x:c r="N24" s="16" t="n">
        <x:v>0.5480057366564596</x:v>
      </x:c>
      <x:c r="Q24" t="str">
        <x:v>2016-11</x:v>
      </x:c>
      <x:c r="R24" s="17" t="n">
        <x:f>SUMIFS($G$32:$G$423,$A$32:$A$423,Dashboard!$B$4,$B$32:$B$423,Dashboard!$E$4,$C$32:$C$423,Q24)/1000000</x:f>
        <x:v>1.04759012</x:v>
      </x:c>
      <x:c r="S24" s="18" t="n">
        <x:f>SUMIFS($H$32:$H$423,$A$32:$A$423,Dashboard!$B$4,$B$32:$B$423,Dashboard!$E$4,$C$32:$C$423,Q24)</x:f>
        <x:v>941197.35</x:v>
      </x:c>
      <x:c r="T24" s="18" t="n">
        <x:f>SUMIFS($J$32:$J$423,$A$32:$A$423,Dashboard!$B$4,$B$32:$B$423,Dashboard!$E$4,$C$32:$C$423,Q24)</x:f>
        <x:v>109539.2</x:v>
      </x:c>
      <x:c r="U24" t="n">
        <x:f>SUMIFS($E$32:$E$423,$A$32:$A$423,Dashboard!$B$4,$B$32:$B$423,Dashboard!$E$4,$C$32:$C$423,Q24)</x:f>
        <x:v>1721</x:v>
      </x:c>
      <x:c r="V24" s="19" t="n">
        <x:f>IFERROR(SUMIFS($K$32:$K$423,$A$32:$A$423,Dashboard!$B$4,$B$32:$B$423,Dashboard!$E$4,$C$32:$C$423,Q24)/SUMIFS($D$32:$D$423,$A$32:$A$423,Dashboard!$B$4,$B$32:$B$423,Dashboard!$E$4,$C$32:$C$423,Q24),0)</x:f>
        <x:v>0.5462571976967371</x:v>
      </x:c>
    </x:row>
    <x:row r="25">
      <x:c r="A25" s="16" t="str">
        <x:v>USCA</x:v>
      </x:c>
      <x:c r="B25" s="16" t="str">
        <x:v>Consumer</x:v>
      </x:c>
      <x:c r="C25" s="16" t="n">
        <x:v>13507</x:v>
      </x:c>
      <x:c r="D25" s="16" t="n">
        <x:v>4509</x:v>
      </x:c>
      <x:c r="E25" s="16" t="n">
        <x:v>29403</x:v>
      </x:c>
      <x:c r="F25" s="16" t="n">
        <x:v>2660291.16</x:v>
      </x:c>
      <x:c r="G25" s="16" t="n">
        <x:v>2391223.36</x:v>
      </x:c>
      <x:c r="H25" s="16" t="n">
        <x:v>269071.11</x:v>
      </x:c>
      <x:c r="I25" s="16" t="n">
        <x:v>302912.14</x:v>
      </x:c>
      <x:c r="J25" s="16" t="n">
        <x:v>7299</x:v>
      </x:c>
      <x:c r="K25" s="16" t="n">
        <x:v>590</x:v>
      </x:c>
      <x:c r="L25" s="16" t="n">
        <x:v>530.32</x:v>
      </x:c>
      <x:c r="M25" s="16" t="n">
        <x:v>0.12667663969291434</x:v>
      </x:c>
      <x:c r="N25" s="16" t="n">
        <x:v>0.5403864662767454</x:v>
      </x:c>
      <x:c r="Q25" t="str">
        <x:v>2016-12</x:v>
      </x:c>
      <x:c r="R25" s="17" t="n">
        <x:f>SUMIFS($G$32:$G$423,$A$32:$A$423,Dashboard!$B$4,$B$32:$B$423,Dashboard!$E$4,$C$32:$C$423,Q25)/1000000</x:f>
        <x:v>1.03740815</x:v>
      </x:c>
      <x:c r="S25" s="18" t="n">
        <x:f>SUMIFS($H$32:$H$423,$A$32:$A$423,Dashboard!$B$4,$B$32:$B$423,Dashboard!$E$4,$C$32:$C$423,Q25)</x:f>
        <x:v>932112.88</x:v>
      </x:c>
      <x:c r="T25" s="18" t="n">
        <x:f>SUMIFS($J$32:$J$423,$A$32:$A$423,Dashboard!$B$4,$B$32:$B$423,Dashboard!$E$4,$C$32:$C$423,Q25)</x:f>
        <x:v>105002.69</x:v>
      </x:c>
      <x:c r="U25" t="n">
        <x:f>SUMIFS($E$32:$E$423,$A$32:$A$423,Dashboard!$B$4,$B$32:$B$423,Dashboard!$E$4,$C$32:$C$423,Q25)</x:f>
        <x:v>1763</x:v>
      </x:c>
      <x:c r="V25" s="19" t="n">
        <x:f>IFERROR(SUMIFS($K$32:$K$423,$A$32:$A$423,Dashboard!$B$4,$B$32:$B$423,Dashboard!$E$4,$C$32:$C$423,Q25)/SUMIFS($D$32:$D$423,$A$32:$A$423,Dashboard!$B$4,$B$32:$B$423,Dashboard!$E$4,$C$32:$C$423,Q25),0)</x:f>
        <x:v>0.5606376921617006</x:v>
      </x:c>
    </x:row>
    <x:row r="26">
      <x:c r="A26" s="16" t="str">
        <x:v>USCA</x:v>
      </x:c>
      <x:c r="B26" s="16" t="str">
        <x:v>Corporate</x:v>
      </x:c>
      <x:c r="C26" s="16" t="n">
        <x:v>7741</x:v>
      </x:c>
      <x:c r="D26" s="16" t="n">
        <x:v>2570</x:v>
      </x:c>
      <x:c r="E26" s="16" t="n">
        <x:v>17295</x:v>
      </x:c>
      <x:c r="F26" s="16" t="n">
        <x:v>1510871.2</x:v>
      </x:c>
      <x:c r="G26" s="16" t="n">
        <x:v>1357555.52</x:v>
      </x:c>
      <x:c r="H26" s="16" t="n">
        <x:v>153317.47</x:v>
      </x:c>
      <x:c r="I26" s="16" t="n">
        <x:v>162718.14</x:v>
      </x:c>
      <x:c r="J26" s="16" t="n">
        <x:v>4285</x:v>
      </x:c>
      <x:c r="K26" s="16" t="n">
        <x:v>587.89</x:v>
      </x:c>
      <x:c r="L26" s="16" t="n">
        <x:v>528.23</x:v>
      </x:c>
      <x:c r="M26" s="16" t="n">
        <x:v>0.11986113098343115</x:v>
      </x:c>
      <x:c r="N26" s="16" t="n">
        <x:v>0.5535460534814624</x:v>
      </x:c>
      <x:c r="Q26" t="str">
        <x:v>2017-01</x:v>
      </x:c>
      <x:c r="R26" s="17" t="n">
        <x:f>SUMIFS($G$32:$G$423,$A$32:$A$423,Dashboard!$B$4,$B$32:$B$423,Dashboard!$E$4,$C$32:$C$423,Q26)/1000000</x:f>
        <x:v>1.029698</x:v>
      </x:c>
      <x:c r="S26" s="18" t="n">
        <x:f>SUMIFS($H$32:$H$423,$A$32:$A$423,Dashboard!$B$4,$B$32:$B$423,Dashboard!$E$4,$C$32:$C$423,Q26)</x:f>
        <x:v>925472.61</x:v>
      </x:c>
      <x:c r="T26" s="18" t="n">
        <x:f>SUMIFS($J$32:$J$423,$A$32:$A$423,Dashboard!$B$4,$B$32:$B$423,Dashboard!$E$4,$C$32:$C$423,Q26)</x:f>
        <x:v>114843.85</x:v>
      </x:c>
      <x:c r="U26" t="n">
        <x:f>SUMIFS($E$32:$E$423,$A$32:$A$423,Dashboard!$B$4,$B$32:$B$423,Dashboard!$E$4,$C$32:$C$423,Q26)</x:f>
        <x:v>1745</x:v>
      </x:c>
      <x:c r="V26" s="19" t="n">
        <x:f>IFERROR(SUMIFS($K$32:$K$423,$A$32:$A$423,Dashboard!$B$4,$B$32:$B$423,Dashboard!$E$4,$C$32:$C$423,Q26)/SUMIFS($D$32:$D$423,$A$32:$A$423,Dashboard!$B$4,$B$32:$B$423,Dashboard!$E$4,$C$32:$C$423,Q26),0)</x:f>
        <x:v>0.5361318765574085</x:v>
      </x:c>
    </x:row>
    <x:row r="27">
      <x:c r="A27" s="16" t="str">
        <x:v>USCA</x:v>
      </x:c>
      <x:c r="B27" s="16" t="str">
        <x:v>Home Office</x:v>
      </x:c>
      <x:c r="C27" s="16" t="n">
        <x:v>4551</x:v>
      </x:c>
      <x:c r="D27" s="16" t="n">
        <x:v>1500</x:v>
      </x:c>
      <x:c r="E27" s="16" t="n">
        <x:v>9918</x:v>
      </x:c>
      <x:c r="F27" s="16" t="n">
        <x:v>895366.25</x:v>
      </x:c>
      <x:c r="G27" s="16" t="n">
        <x:v>804720.99</x:v>
      </x:c>
      <x:c r="H27" s="16" t="n">
        <x:v>90646.24</x:v>
      </x:c>
      <x:c r="I27" s="16" t="n">
        <x:v>98683.5</x:v>
      </x:c>
      <x:c r="J27" s="16" t="n">
        <x:v>2554</x:v>
      </x:c>
      <x:c r="K27" s="16" t="n">
        <x:v>596.91</x:v>
      </x:c>
      <x:c r="L27" s="16" t="n">
        <x:v>536.48</x:v>
      </x:c>
      <x:c r="M27" s="16" t="n">
        <x:v>0.12263070210210374</x:v>
      </x:c>
      <x:c r="N27" s="16" t="n">
        <x:v>0.5611953416831466</x:v>
      </x:c>
      <x:c r="Q27" t="str">
        <x:v>2017-02</x:v>
      </x:c>
      <x:c r="R27" s="17" t="n">
        <x:f>SUMIFS($G$32:$G$423,$A$32:$A$423,Dashboard!$B$4,$B$32:$B$423,Dashboard!$E$4,$C$32:$C$423,Q27)/1000000</x:f>
        <x:v>0.99253488</x:v>
      </x:c>
      <x:c r="S27" s="18" t="n">
        <x:f>SUMIFS($H$32:$H$423,$A$32:$A$423,Dashboard!$B$4,$B$32:$B$423,Dashboard!$E$4,$C$32:$C$423,Q27)</x:f>
        <x:v>891924.28</x:v>
      </x:c>
      <x:c r="T27" s="18" t="n">
        <x:f>SUMIFS($J$32:$J$423,$A$32:$A$423,Dashboard!$B$4,$B$32:$B$423,Dashboard!$E$4,$C$32:$C$423,Q27)</x:f>
        <x:v>115111.07</x:v>
      </x:c>
      <x:c r="U27" t="n">
        <x:f>SUMIFS($E$32:$E$423,$A$32:$A$423,Dashboard!$B$4,$B$32:$B$423,Dashboard!$E$4,$C$32:$C$423,Q27)</x:f>
        <x:v>1614</x:v>
      </x:c>
      <x:c r="V27" s="19" t="n">
        <x:f>IFERROR(SUMIFS($K$32:$K$423,$A$32:$A$423,Dashboard!$B$4,$B$32:$B$423,Dashboard!$E$4,$C$32:$C$423,Q27)/SUMIFS($D$32:$D$423,$A$32:$A$423,Dashboard!$B$4,$B$32:$B$423,Dashboard!$E$4,$C$32:$C$423,Q27),0)</x:f>
        <x:v>0.5466775377089278</x:v>
      </x:c>
    </x:row>
    <x:row r="28">
      <x:c r="Q28" t="str">
        <x:v>2017-03</x:v>
      </x:c>
      <x:c r="R28" s="17" t="n">
        <x:f>SUMIFS($G$32:$G$423,$A$32:$A$423,Dashboard!$B$4,$B$32:$B$423,Dashboard!$E$4,$C$32:$C$423,Q28)/1000000</x:f>
        <x:v>1.04800476</x:v>
      </x:c>
      <x:c r="S28" s="18" t="n">
        <x:f>SUMIFS($H$32:$H$423,$A$32:$A$423,Dashboard!$B$4,$B$32:$B$423,Dashboard!$E$4,$C$32:$C$423,Q28)</x:f>
        <x:v>942290.42</x:v>
      </x:c>
      <x:c r="T28" s="18" t="n">
        <x:f>SUMIFS($J$32:$J$423,$A$32:$A$423,Dashboard!$B$4,$B$32:$B$423,Dashboard!$E$4,$C$32:$C$423,Q28)</x:f>
        <x:v>118688.9</x:v>
      </x:c>
      <x:c r="U28" t="n">
        <x:f>SUMIFS($E$32:$E$423,$A$32:$A$423,Dashboard!$B$4,$B$32:$B$423,Dashboard!$E$4,$C$32:$C$423,Q28)</x:f>
        <x:v>1782</x:v>
      </x:c>
      <x:c r="V28" s="19" t="n">
        <x:f>IFERROR(SUMIFS($K$32:$K$423,$A$32:$A$423,Dashboard!$B$4,$B$32:$B$423,Dashboard!$E$4,$C$32:$C$423,Q28)/SUMIFS($D$32:$D$423,$A$32:$A$423,Dashboard!$B$4,$B$32:$B$423,Dashboard!$E$4,$C$32:$C$423,Q28),0)</x:f>
        <x:v>0.5526463437441556</x:v>
      </x:c>
    </x:row>
    <x:row r="29">
      <x:c r="A29" s="1" t="str">
        <x:v>Monthly filter cube</x:v>
      </x:c>
      <x:c r="Q29" t="str">
        <x:v>2017-04</x:v>
      </x:c>
      <x:c r="R29" s="17" t="n">
        <x:f>SUMIFS($G$32:$G$423,$A$32:$A$423,Dashboard!$B$4,$B$32:$B$423,Dashboard!$E$4,$C$32:$C$423,Q29)/1000000</x:f>
        <x:v>1.0383216</x:v>
      </x:c>
      <x:c r="S29" s="18" t="n">
        <x:f>SUMIFS($H$32:$H$423,$A$32:$A$423,Dashboard!$B$4,$B$32:$B$423,Dashboard!$E$4,$C$32:$C$423,Q29)</x:f>
        <x:v>932318.19</x:v>
      </x:c>
      <x:c r="T29" s="18" t="n">
        <x:f>SUMIFS($J$32:$J$423,$A$32:$A$423,Dashboard!$B$4,$B$32:$B$423,Dashboard!$E$4,$C$32:$C$423,Q29)</x:f>
        <x:v>115961.06</x:v>
      </x:c>
      <x:c r="U29" t="n">
        <x:f>SUMIFS($E$32:$E$423,$A$32:$A$423,Dashboard!$B$4,$B$32:$B$423,Dashboard!$E$4,$C$32:$C$423,Q29)</x:f>
        <x:v>1739</x:v>
      </x:c>
      <x:c r="V29" s="19" t="n">
        <x:f>IFERROR(SUMIFS($K$32:$K$423,$A$32:$A$423,Dashboard!$B$4,$B$32:$B$423,Dashboard!$E$4,$C$32:$C$423,Q29)/SUMIFS($D$32:$D$423,$A$32:$A$423,Dashboard!$B$4,$B$32:$B$423,Dashboard!$E$4,$C$32:$C$423,Q29),0)</x:f>
        <x:v>0.5377973906369916</x:v>
      </x:c>
    </x:row>
    <x:row r="30">
      <x:c r="Q30" t="str">
        <x:v>2017-05</x:v>
      </x:c>
      <x:c r="R30" s="17" t="n">
        <x:f>SUMIFS($G$32:$G$423,$A$32:$A$423,Dashboard!$B$4,$B$32:$B$423,Dashboard!$E$4,$C$32:$C$423,Q30)/1000000</x:f>
        <x:v>1.1054853</x:v>
      </x:c>
      <x:c r="S30" s="18" t="n">
        <x:f>SUMIFS($H$32:$H$423,$A$32:$A$423,Dashboard!$B$4,$B$32:$B$423,Dashboard!$E$4,$C$32:$C$423,Q30)</x:f>
        <x:v>993199.04</x:v>
      </x:c>
      <x:c r="T30" s="18" t="n">
        <x:f>SUMIFS($J$32:$J$423,$A$32:$A$423,Dashboard!$B$4,$B$32:$B$423,Dashboard!$E$4,$C$32:$C$423,Q30)</x:f>
        <x:v>115014.64</x:v>
      </x:c>
      <x:c r="U30" t="n">
        <x:f>SUMIFS($E$32:$E$423,$A$32:$A$423,Dashboard!$B$4,$B$32:$B$423,Dashboard!$E$4,$C$32:$C$423,Q30)</x:f>
        <x:v>1763</x:v>
      </x:c>
      <x:c r="V30" s="19" t="n">
        <x:f>IFERROR(SUMIFS($K$32:$K$423,$A$32:$A$423,Dashboard!$B$4,$B$32:$B$423,Dashboard!$E$4,$C$32:$C$423,Q30)/SUMIFS($D$32:$D$423,$A$32:$A$423,Dashboard!$B$4,$B$32:$B$423,Dashboard!$E$4,$C$32:$C$423,Q30),0)</x:f>
        <x:v>0.5347000188075983</x:v>
      </x:c>
    </x:row>
    <x:row r="31">
      <x:c r="A31" s="12" t="str">
        <x:v>market</x:v>
      </x:c>
      <x:c r="B31" s="13" t="str">
        <x:v>customer_segment</x:v>
      </x:c>
      <x:c r="C31" s="13" t="str">
        <x:v>order_year_month</x:v>
      </x:c>
      <x:c r="D31" s="13" t="str">
        <x:v>records</x:v>
      </x:c>
      <x:c r="E31" s="13" t="str">
        <x:v>orders</x:v>
      </x:c>
      <x:c r="F31" s="13" t="str">
        <x:v>units</x:v>
      </x:c>
      <x:c r="G31" s="13" t="str">
        <x:v>gross_sales</x:v>
      </x:c>
      <x:c r="H31" s="13" t="str">
        <x:v>net_sales</x:v>
      </x:c>
      <x:c r="I31" s="13" t="str">
        <x:v>discount</x:v>
      </x:c>
      <x:c r="J31" s="13" t="str">
        <x:v>profit</x:v>
      </x:c>
      <x:c r="K31" s="13" t="str">
        <x:v>late_records</x:v>
      </x:c>
      <x:c r="L31" s="13" t="str">
        <x:v>gross_aov</x:v>
      </x:c>
      <x:c r="M31" s="13" t="str">
        <x:v>net_aov</x:v>
      </x:c>
      <x:c r="N31" s="13" t="str">
        <x:v>profit_margin_net</x:v>
      </x:c>
      <x:c r="O31" s="14" t="str">
        <x:v>late_delivery_rate_row</x:v>
      </x:c>
      <x:c r="Q31" t="str">
        <x:v>2017-06</x:v>
      </x:c>
      <x:c r="R31" s="17" t="n">
        <x:f>SUMIFS($G$32:$G$423,$A$32:$A$423,Dashboard!$B$4,$B$32:$B$423,Dashboard!$E$4,$C$32:$C$423,Q31)/1000000</x:f>
        <x:v>1.0320864699999999</x:v>
      </x:c>
      <x:c r="S31" s="18" t="n">
        <x:f>SUMIFS($H$32:$H$423,$A$32:$A$423,Dashboard!$B$4,$B$32:$B$423,Dashboard!$E$4,$C$32:$C$423,Q31)</x:f>
        <x:v>927445.96</x:v>
      </x:c>
      <x:c r="T31" s="18" t="n">
        <x:f>SUMIFS($J$32:$J$423,$A$32:$A$423,Dashboard!$B$4,$B$32:$B$423,Dashboard!$E$4,$C$32:$C$423,Q31)</x:f>
        <x:v>110399.29</x:v>
      </x:c>
      <x:c r="U31" t="n">
        <x:f>SUMIFS($E$32:$E$423,$A$32:$A$423,Dashboard!$B$4,$B$32:$B$423,Dashboard!$E$4,$C$32:$C$423,Q31)</x:f>
        <x:v>1676</x:v>
      </x:c>
      <x:c r="V31" s="19" t="n">
        <x:f>IFERROR(SUMIFS($K$32:$K$423,$A$32:$A$423,Dashboard!$B$4,$B$32:$B$423,Dashboard!$E$4,$C$32:$C$423,Q31)/SUMIFS($D$32:$D$423,$A$32:$A$423,Dashboard!$B$4,$B$32:$B$423,Dashboard!$E$4,$C$32:$C$423,Q31),0)</x:f>
        <x:v>0.5350434255705918</x:v>
      </x:c>
    </x:row>
    <x:row r="32">
      <x:c r="A32" s="15" t="str">
        <x:v>All</x:v>
      </x:c>
      <x:c r="B32" s="15" t="str">
        <x:v>All</x:v>
      </x:c>
      <x:c r="C32" s="15" t="str">
        <x:v>2015-01</x:v>
      </x:c>
      <x:c r="D32" s="15" t="n">
        <x:v>5322</x:v>
      </x:c>
      <x:c r="E32" s="15" t="n">
        <x:v>1787</x:v>
      </x:c>
      <x:c r="F32" s="15" t="n">
        <x:v>11854</x:v>
      </x:c>
      <x:c r="G32" s="15" t="n">
        <x:v>1051590.06</x:v>
      </x:c>
      <x:c r="H32" s="15" t="n">
        <x:v>945382.15</x:v>
      </x:c>
      <x:c r="I32" s="15" t="n">
        <x:v>106209.28</x:v>
      </x:c>
      <x:c r="J32" s="15" t="n">
        <x:v>111660.74</x:v>
      </x:c>
      <x:c r="K32" s="15" t="n">
        <x:v>2880</x:v>
      </x:c>
      <x:c r="L32" s="15" t="n">
        <x:v>588.47</x:v>
      </x:c>
      <x:c r="M32" s="15" t="n">
        <x:v>529.03</x:v>
      </x:c>
      <x:c r="N32" s="15" t="n">
        <x:v>0.11811174983576747</x:v>
      </x:c>
      <x:c r="O32" s="15" t="n">
        <x:v>0.5411499436302142</x:v>
      </x:c>
      <x:c r="Q32" t="str">
        <x:v>2017-07</x:v>
      </x:c>
      <x:c r="R32" s="17" t="n">
        <x:f>SUMIFS($G$32:$G$423,$A$32:$A$423,Dashboard!$B$4,$B$32:$B$423,Dashboard!$E$4,$C$32:$C$423,Q32)/1000000</x:f>
        <x:v>1.10437334</x:v>
      </x:c>
      <x:c r="S32" s="18" t="n">
        <x:f>SUMIFS($H$32:$H$423,$A$32:$A$423,Dashboard!$B$4,$B$32:$B$423,Dashboard!$E$4,$C$32:$C$423,Q32)</x:f>
        <x:v>992423.42</x:v>
      </x:c>
      <x:c r="T32" s="18" t="n">
        <x:f>SUMIFS($J$32:$J$423,$A$32:$A$423,Dashboard!$B$4,$B$32:$B$423,Dashboard!$E$4,$C$32:$C$423,Q32)</x:f>
        <x:v>113026.7</x:v>
      </x:c>
      <x:c r="U32" t="n">
        <x:f>SUMIFS($E$32:$E$423,$A$32:$A$423,Dashboard!$B$4,$B$32:$B$423,Dashboard!$E$4,$C$32:$C$423,Q32)</x:f>
        <x:v>1776</x:v>
      </x:c>
      <x:c r="V32" s="19" t="n">
        <x:f>IFERROR(SUMIFS($K$32:$K$423,$A$32:$A$423,Dashboard!$B$4,$B$32:$B$423,Dashboard!$E$4,$C$32:$C$423,Q32)/SUMIFS($D$32:$D$423,$A$32:$A$423,Dashboard!$B$4,$B$32:$B$423,Dashboard!$E$4,$C$32:$C$423,Q32),0)</x:f>
        <x:v>0.5477623166603987</x:v>
      </x:c>
    </x:row>
    <x:row r="33">
      <x:c r="A33" s="16" t="str">
        <x:v>All</x:v>
      </x:c>
      <x:c r="B33" s="16" t="str">
        <x:v>All</x:v>
      </x:c>
      <x:c r="C33" s="16" t="str">
        <x:v>2015-02</x:v>
      </x:c>
      <x:c r="D33" s="16" t="n">
        <x:v>4729</x:v>
      </x:c>
      <x:c r="E33" s="16" t="n">
        <x:v>1585</x:v>
      </x:c>
      <x:c r="F33" s="16" t="n">
        <x:v>10438</x:v>
      </x:c>
      <x:c r="G33" s="16" t="n">
        <x:v>927009.88</x:v>
      </x:c>
      <x:c r="H33" s="16" t="n">
        <x:v>833012.42</x:v>
      </x:c>
      <x:c r="I33" s="16" t="n">
        <x:v>93998.57</x:v>
      </x:c>
      <x:c r="J33" s="16" t="n">
        <x:v>99140.66</x:v>
      </x:c>
      <x:c r="K33" s="16" t="n">
        <x:v>2594</x:v>
      </x:c>
      <x:c r="L33" s="16" t="n">
        <x:v>584.86</x:v>
      </x:c>
      <x:c r="M33" s="16" t="n">
        <x:v>525.56</x:v>
      </x:c>
      <x:c r="N33" s="16" t="n">
        <x:v>0.11901462405566533</x:v>
      </x:c>
      <x:c r="O33" s="16" t="n">
        <x:v>0.5485303446817509</x:v>
      </x:c>
      <x:c r="Q33" t="str">
        <x:v>2017-08</x:v>
      </x:c>
      <x:c r="R33" s="17" t="n">
        <x:f>SUMIFS($G$32:$G$423,$A$32:$A$423,Dashboard!$B$4,$B$32:$B$423,Dashboard!$E$4,$C$32:$C$423,Q33)/1000000</x:f>
        <x:v>1.10933715</x:v>
      </x:c>
      <x:c r="S33" s="18" t="n">
        <x:f>SUMIFS($H$32:$H$423,$A$32:$A$423,Dashboard!$B$4,$B$32:$B$423,Dashboard!$E$4,$C$32:$C$423,Q33)</x:f>
        <x:v>996507.87</x:v>
      </x:c>
      <x:c r="T33" s="18" t="n">
        <x:f>SUMIFS($J$32:$J$423,$A$32:$A$423,Dashboard!$B$4,$B$32:$B$423,Dashboard!$E$4,$C$32:$C$423,Q33)</x:f>
        <x:v>131501.16</x:v>
      </x:c>
      <x:c r="U33" t="n">
        <x:f>SUMIFS($E$32:$E$423,$A$32:$A$423,Dashboard!$B$4,$B$32:$B$423,Dashboard!$E$4,$C$32:$C$423,Q33)</x:f>
        <x:v>1768</x:v>
      </x:c>
      <x:c r="V33" s="19" t="n">
        <x:f>IFERROR(SUMIFS($K$32:$K$423,$A$32:$A$423,Dashboard!$B$4,$B$32:$B$423,Dashboard!$E$4,$C$32:$C$423,Q33)/SUMIFS($D$32:$D$423,$A$32:$A$423,Dashboard!$B$4,$B$32:$B$423,Dashboard!$E$4,$C$32:$C$423,Q33),0)</x:f>
        <x:v>0.564373232799246</x:v>
      </x:c>
    </x:row>
    <x:row r="34">
      <x:c r="A34" s="16" t="str">
        <x:v>All</x:v>
      </x:c>
      <x:c r="B34" s="16" t="str">
        <x:v>All</x:v>
      </x:c>
      <x:c r="C34" s="16" t="str">
        <x:v>2015-03</x:v>
      </x:c>
      <x:c r="D34" s="16" t="n">
        <x:v>5362</x:v>
      </x:c>
      <x:c r="E34" s="16" t="n">
        <x:v>1781</x:v>
      </x:c>
      <x:c r="F34" s="16" t="n">
        <x:v>12062</x:v>
      </x:c>
      <x:c r="G34" s="16" t="n">
        <x:v>1051253.67</x:v>
      </x:c>
      <x:c r="H34" s="16" t="n">
        <x:v>944050.1</x:v>
      </x:c>
      <x:c r="I34" s="16" t="n">
        <x:v>107204.88</x:v>
      </x:c>
      <x:c r="J34" s="16" t="n">
        <x:v>113778.21</x:v>
      </x:c>
      <x:c r="K34" s="16" t="n">
        <x:v>2936</x:v>
      </x:c>
      <x:c r="L34" s="16" t="n">
        <x:v>590.26</x:v>
      </x:c>
      <x:c r="M34" s="16" t="n">
        <x:v>530.07</x:v>
      </x:c>
      <x:c r="N34" s="16" t="n">
        <x:v>0.1205213685163531</x:v>
      </x:c>
      <x:c r="O34" s="16" t="n">
        <x:v>0.5475568817605371</x:v>
      </x:c>
      <x:c r="Q34" t="str">
        <x:v>2017-09</x:v>
      </x:c>
      <x:c r="R34" s="17" t="n">
        <x:f>SUMIFS($G$32:$G$423,$A$32:$A$423,Dashboard!$B$4,$B$32:$B$423,Dashboard!$E$4,$C$32:$C$423,Q34)/1000000</x:f>
        <x:v>1.14377509</x:v>
      </x:c>
      <x:c r="S34" s="18" t="n">
        <x:f>SUMIFS($H$32:$H$423,$A$32:$A$423,Dashboard!$B$4,$B$32:$B$423,Dashboard!$E$4,$C$32:$C$423,Q34)</x:f>
        <x:v>1027111.72</x:v>
      </x:c>
      <x:c r="T34" s="18" t="n">
        <x:f>SUMIFS($J$32:$J$423,$A$32:$A$423,Dashboard!$B$4,$B$32:$B$423,Dashboard!$E$4,$C$32:$C$423,Q34)</x:f>
        <x:v>122462.39</x:v>
      </x:c>
      <x:c r="U34" t="n">
        <x:f>SUMIFS($E$32:$E$423,$A$32:$A$423,Dashboard!$B$4,$B$32:$B$423,Dashboard!$E$4,$C$32:$C$423,Q34)</x:f>
        <x:v>1723</x:v>
      </x:c>
      <x:c r="V34" s="19" t="n">
        <x:f>IFERROR(SUMIFS($K$32:$K$423,$A$32:$A$423,Dashboard!$B$4,$B$32:$B$423,Dashboard!$E$4,$C$32:$C$423,Q34)/SUMIFS($D$32:$D$423,$A$32:$A$423,Dashboard!$B$4,$B$32:$B$423,Dashboard!$E$4,$C$32:$C$423,Q34),0)</x:f>
        <x:v>0.5423010213914049</x:v>
      </x:c>
    </x:row>
    <x:row r="35">
      <x:c r="A35" s="16" t="str">
        <x:v>All</x:v>
      </x:c>
      <x:c r="B35" s="16" t="str">
        <x:v>All</x:v>
      </x:c>
      <x:c r="C35" s="16" t="str">
        <x:v>2015-04</x:v>
      </x:c>
      <x:c r="D35" s="16" t="n">
        <x:v>5126</x:v>
      </x:c>
      <x:c r="E35" s="16" t="n">
        <x:v>1710</x:v>
      </x:c>
      <x:c r="F35" s="16" t="n">
        <x:v>11287</x:v>
      </x:c>
      <x:c r="G35" s="16" t="n">
        <x:v>1014463.26</x:v>
      </x:c>
      <x:c r="H35" s="16" t="n">
        <x:v>912004.39</x:v>
      </x:c>
      <x:c r="I35" s="16" t="n">
        <x:v>102460.16</x:v>
      </x:c>
      <x:c r="J35" s="16" t="n">
        <x:v>108083.68</x:v>
      </x:c>
      <x:c r="K35" s="16" t="n">
        <x:v>2760</x:v>
      </x:c>
      <x:c r="L35" s="16" t="n">
        <x:v>593.25</x:v>
      </x:c>
      <x:c r="M35" s="16" t="n">
        <x:v>533.34</x:v>
      </x:c>
      <x:c r="N35" s="16" t="n">
        <x:v>0.11851223654745784</x:v>
      </x:c>
      <x:c r="O35" s="16" t="n">
        <x:v>0.538431525555989</x:v>
      </x:c>
      <x:c r="Q35" t="str">
        <x:v>2017-10</x:v>
      </x:c>
      <x:c r="R35" s="17" t="n">
        <x:f>SUMIFS($G$32:$G$423,$A$32:$A$423,Dashboard!$B$4,$B$32:$B$423,Dashboard!$E$4,$C$32:$C$423,Q35)/1000000</x:f>
        <x:v>1.0739941599999998</x:v>
      </x:c>
      <x:c r="S35" s="18" t="n">
        <x:f>SUMIFS($H$32:$H$423,$A$32:$A$423,Dashboard!$B$4,$B$32:$B$423,Dashboard!$E$4,$C$32:$C$423,Q35)</x:f>
        <x:v>966081.41</x:v>
      </x:c>
      <x:c r="T35" s="18" t="n">
        <x:f>SUMIFS($J$32:$J$423,$A$32:$A$423,Dashboard!$B$4,$B$32:$B$423,Dashboard!$E$4,$C$32:$C$423,Q35)</x:f>
        <x:v>113447.17</x:v>
      </x:c>
      <x:c r="U35" t="n">
        <x:f>SUMIFS($E$32:$E$423,$A$32:$A$423,Dashboard!$B$4,$B$32:$B$423,Dashboard!$E$4,$C$32:$C$423,Q35)</x:f>
        <x:v>2101</x:v>
      </x:c>
      <x:c r="V35" s="19" t="n">
        <x:f>IFERROR(SUMIFS($K$32:$K$423,$A$32:$A$423,Dashboard!$B$4,$B$32:$B$423,Dashboard!$E$4,$C$32:$C$423,Q35)/SUMIFS($D$32:$D$423,$A$32:$A$423,Dashboard!$B$4,$B$32:$B$423,Dashboard!$E$4,$C$32:$C$423,Q35),0)</x:f>
        <x:v>0.5365853658536586</x:v>
      </x:c>
    </x:row>
    <x:row r="36">
      <x:c r="A36" s="16" t="str">
        <x:v>All</x:v>
      </x:c>
      <x:c r="B36" s="16" t="str">
        <x:v>All</x:v>
      </x:c>
      <x:c r="C36" s="16" t="str">
        <x:v>2015-05</x:v>
      </x:c>
      <x:c r="D36" s="16" t="n">
        <x:v>5357</x:v>
      </x:c>
      <x:c r="E36" s="16" t="n">
        <x:v>1776</x:v>
      </x:c>
      <x:c r="F36" s="16" t="n">
        <x:v>11902</x:v>
      </x:c>
      <x:c r="G36" s="16" t="n">
        <x:v>1050478.42</x:v>
      </x:c>
      <x:c r="H36" s="16" t="n">
        <x:v>943939.76</x:v>
      </x:c>
      <x:c r="I36" s="16" t="n">
        <x:v>106539.92</x:v>
      </x:c>
      <x:c r="J36" s="16" t="n">
        <x:v>112147.9</x:v>
      </x:c>
      <x:c r="K36" s="16" t="n">
        <x:v>2951</x:v>
      </x:c>
      <x:c r="L36" s="16" t="n">
        <x:v>591.49</x:v>
      </x:c>
      <x:c r="M36" s="16" t="n">
        <x:v>531.5</x:v>
      </x:c>
      <x:c r="N36" s="16" t="n">
        <x:v>0.11880832310739829</x:v>
      </x:c>
      <x:c r="O36" s="16" t="n">
        <x:v>0.5508680231472839</x:v>
      </x:c>
      <x:c r="Q36" t="str">
        <x:v>2017-11</x:v>
      </x:c>
      <x:c r="R36" s="17" t="n">
        <x:f>SUMIFS($G$32:$G$423,$A$32:$A$423,Dashboard!$B$4,$B$32:$B$423,Dashboard!$E$4,$C$32:$C$423,Q36)/1000000</x:f>
        <x:v>0.6269143699999999</x:v>
      </x:c>
      <x:c r="S36" s="18" t="n">
        <x:f>SUMIFS($H$32:$H$423,$A$32:$A$423,Dashboard!$B$4,$B$32:$B$423,Dashboard!$E$4,$C$32:$C$423,Q36)</x:f>
        <x:v>563393.47</x:v>
      </x:c>
      <x:c r="T36" s="18" t="n">
        <x:f>SUMIFS($J$32:$J$423,$A$32:$A$423,Dashboard!$B$4,$B$32:$B$423,Dashboard!$E$4,$C$32:$C$423,Q36)</x:f>
        <x:v>67791.25</x:v>
      </x:c>
      <x:c r="U36" t="n">
        <x:f>SUMIFS($E$32:$E$423,$A$32:$A$423,Dashboard!$B$4,$B$32:$B$423,Dashboard!$E$4,$C$32:$C$423,Q36)</x:f>
        <x:v>2055</x:v>
      </x:c>
      <x:c r="V36" s="19" t="n">
        <x:f>IFERROR(SUMIFS($K$32:$K$423,$A$32:$A$423,Dashboard!$B$4,$B$32:$B$423,Dashboard!$E$4,$C$32:$C$423,Q36)/SUMIFS($D$32:$D$423,$A$32:$A$423,Dashboard!$B$4,$B$32:$B$423,Dashboard!$E$4,$C$32:$C$423,Q36),0)</x:f>
        <x:v>0.5508515815085158</x:v>
      </x:c>
    </x:row>
    <x:row r="37">
      <x:c r="A37" s="16" t="str">
        <x:v>All</x:v>
      </x:c>
      <x:c r="B37" s="16" t="str">
        <x:v>All</x:v>
      </x:c>
      <x:c r="C37" s="16" t="str">
        <x:v>2015-06</x:v>
      </x:c>
      <x:c r="D37" s="16" t="n">
        <x:v>5134</x:v>
      </x:c>
      <x:c r="E37" s="16" t="n">
        <x:v>1725</x:v>
      </x:c>
      <x:c r="F37" s="16" t="n">
        <x:v>11203</x:v>
      </x:c>
      <x:c r="G37" s="16" t="n">
        <x:v>1024006.15</x:v>
      </x:c>
      <x:c r="H37" s="16" t="n">
        <x:v>920242.05</x:v>
      </x:c>
      <x:c r="I37" s="16" t="n">
        <x:v>103765.36</x:v>
      </x:c>
      <x:c r="J37" s="16" t="n">
        <x:v>110147.16</x:v>
      </x:c>
      <x:c r="K37" s="16" t="n">
        <x:v>2778</x:v>
      </x:c>
      <x:c r="L37" s="16" t="n">
        <x:v>593.63</x:v>
      </x:c>
      <x:c r="M37" s="16" t="n">
        <x:v>533.47</x:v>
      </x:c>
      <x:c r="N37" s="16" t="n">
        <x:v>0.11969368276531159</x:v>
      </x:c>
      <x:c r="O37" s="16" t="n">
        <x:v>0.5410985586287496</x:v>
      </x:c>
      <x:c r="Q37" t="str">
        <x:v>2017-12</x:v>
      </x:c>
      <x:c r="R37" s="17" t="n">
        <x:f>SUMIFS($G$32:$G$423,$A$32:$A$423,Dashboard!$B$4,$B$32:$B$423,Dashboard!$E$4,$C$32:$C$423,Q37)/1000000</x:f>
        <x:v>0.50391081</x:v>
      </x:c>
      <x:c r="S37" s="18" t="n">
        <x:f>SUMIFS($H$32:$H$423,$A$32:$A$423,Dashboard!$B$4,$B$32:$B$423,Dashboard!$E$4,$C$32:$C$423,Q37)</x:f>
        <x:v>452741.53</x:v>
      </x:c>
      <x:c r="T37" s="18" t="n">
        <x:f>SUMIFS($J$32:$J$423,$A$32:$A$423,Dashboard!$B$4,$B$32:$B$423,Dashboard!$E$4,$C$32:$C$423,Q37)</x:f>
        <x:v>65837.63</x:v>
      </x:c>
      <x:c r="U37" t="n">
        <x:f>SUMIFS($E$32:$E$423,$A$32:$A$423,Dashboard!$B$4,$B$32:$B$423,Dashboard!$E$4,$C$32:$C$423,Q37)</x:f>
        <x:v>2124</x:v>
      </x:c>
      <x:c r="V37" s="19" t="n">
        <x:f>IFERROR(SUMIFS($K$32:$K$423,$A$32:$A$423,Dashboard!$B$4,$B$32:$B$423,Dashboard!$E$4,$C$32:$C$423,Q37)/SUMIFS($D$32:$D$423,$A$32:$A$423,Dashboard!$B$4,$B$32:$B$423,Dashboard!$E$4,$C$32:$C$423,Q37),0)</x:f>
        <x:v>0.551789077212806</x:v>
      </x:c>
    </x:row>
    <x:row r="38">
      <x:c r="A38" s="16" t="str">
        <x:v>All</x:v>
      </x:c>
      <x:c r="B38" s="16" t="str">
        <x:v>All</x:v>
      </x:c>
      <x:c r="C38" s="16" t="str">
        <x:v>2015-07</x:v>
      </x:c>
      <x:c r="D38" s="16" t="n">
        <x:v>5299</x:v>
      </x:c>
      <x:c r="E38" s="16" t="n">
        <x:v>1763</x:v>
      </x:c>
      <x:c r="F38" s="16" t="n">
        <x:v>11800</x:v>
      </x:c>
      <x:c r="G38" s="16" t="n">
        <x:v>1038081.17</x:v>
      </x:c>
      <x:c r="H38" s="16" t="n">
        <x:v>932936.78</x:v>
      </x:c>
      <x:c r="I38" s="16" t="n">
        <x:v>105145.67</x:v>
      </x:c>
      <x:c r="J38" s="16" t="n">
        <x:v>115624.06</x:v>
      </x:c>
      <x:c r="K38" s="16" t="n">
        <x:v>2939</x:v>
      </x:c>
      <x:c r="L38" s="16" t="n">
        <x:v>588.82</x:v>
      </x:c>
      <x:c r="M38" s="16" t="n">
        <x:v>529.18</x:v>
      </x:c>
      <x:c r="N38" s="16" t="n">
        <x:v>0.12393557900032626</x:v>
      </x:c>
      <x:c r="O38" s="16" t="n">
        <x:v>0.5546329496131346</x:v>
      </x:c>
      <x:c r="Q38" t="str">
        <x:v>2018-01</x:v>
      </x:c>
      <x:c r="R38" s="17" t="n">
        <x:f>SUMIFS($G$32:$G$423,$A$32:$A$423,Dashboard!$B$4,$B$32:$B$423,Dashboard!$E$4,$C$32:$C$423,Q38)/1000000</x:f>
        <x:v>0.33165011</x:v>
      </x:c>
      <x:c r="S38" s="18" t="n">
        <x:f>SUMIFS($H$32:$H$423,$A$32:$A$423,Dashboard!$B$4,$B$32:$B$423,Dashboard!$E$4,$C$32:$C$423,Q38)</x:f>
        <x:v>297952.05</x:v>
      </x:c>
      <x:c r="T38" s="18" t="n">
        <x:f>SUMIFS($J$32:$J$423,$A$32:$A$423,Dashboard!$B$4,$B$32:$B$423,Dashboard!$E$4,$C$32:$C$423,Q38)</x:f>
        <x:v>33841.89</x:v>
      </x:c>
      <x:c r="U38" t="n">
        <x:f>SUMIFS($E$32:$E$423,$A$32:$A$423,Dashboard!$B$4,$B$32:$B$423,Dashboard!$E$4,$C$32:$C$423,Q38)</x:f>
        <x:v>2123</x:v>
      </x:c>
      <x:c r="V38" s="19" t="n">
        <x:f>IFERROR(SUMIFS($K$32:$K$423,$A$32:$A$423,Dashboard!$B$4,$B$32:$B$423,Dashboard!$E$4,$C$32:$C$423,Q38)/SUMIFS($D$32:$D$423,$A$32:$A$423,Dashboard!$B$4,$B$32:$B$423,Dashboard!$E$4,$C$32:$C$423,Q38),0)</x:f>
        <x:v>0.5628827131417805</x:v>
      </x:c>
    </x:row>
    <x:row r="39">
      <x:c r="A39" s="16" t="str">
        <x:v>All</x:v>
      </x:c>
      <x:c r="B39" s="16" t="str">
        <x:v>All</x:v>
      </x:c>
      <x:c r="C39" s="16" t="str">
        <x:v>2015-08</x:v>
      </x:c>
      <x:c r="D39" s="16" t="n">
        <x:v>5273</x:v>
      </x:c>
      <x:c r="E39" s="16" t="n">
        <x:v>1762</x:v>
      </x:c>
      <x:c r="F39" s="16" t="n">
        <x:v>11612</x:v>
      </x:c>
      <x:c r="G39" s="16" t="n">
        <x:v>1029494.67</x:v>
      </x:c>
      <x:c r="H39" s="16" t="n">
        <x:v>925192.86</x:v>
      </x:c>
      <x:c r="I39" s="16" t="n">
        <x:v>104303.01</x:v>
      </x:c>
      <x:c r="J39" s="16" t="n">
        <x:v>117979.77</x:v>
      </x:c>
      <x:c r="K39" s="16" t="n">
        <x:v>2936</x:v>
      </x:c>
      <x:c r="L39" s="16" t="n">
        <x:v>584.28</x:v>
      </x:c>
      <x:c r="M39" s="16" t="n">
        <x:v>525.08</x:v>
      </x:c>
      <x:c r="N39" s="16" t="n">
        <x:v>0.12751910990752782</x:v>
      </x:c>
      <x:c r="O39" s="16" t="n">
        <x:v>0.5567987862696757</x:v>
      </x:c>
    </x:row>
    <x:row r="40">
      <x:c r="A40" s="16" t="str">
        <x:v>All</x:v>
      </x:c>
      <x:c r="B40" s="16" t="str">
        <x:v>All</x:v>
      </x:c>
      <x:c r="C40" s="16" t="str">
        <x:v>2015-09</x:v>
      </x:c>
      <x:c r="D40" s="16" t="n">
        <x:v>5140</x:v>
      </x:c>
      <x:c r="E40" s="16" t="n">
        <x:v>1706</x:v>
      </x:c>
      <x:c r="F40" s="16" t="n">
        <x:v>11366</x:v>
      </x:c>
      <x:c r="G40" s="16" t="n">
        <x:v>1018338.58</x:v>
      </x:c>
      <x:c r="H40" s="16" t="n">
        <x:v>914522.36</x:v>
      </x:c>
      <x:c r="I40" s="16" t="n">
        <x:v>103817.56</x:v>
      </x:c>
      <x:c r="J40" s="16" t="n">
        <x:v>113467.94</x:v>
      </x:c>
      <x:c r="K40" s="16" t="n">
        <x:v>2914</x:v>
      </x:c>
      <x:c r="L40" s="16" t="n">
        <x:v>596.92</x:v>
      </x:c>
      <x:c r="M40" s="16" t="n">
        <x:v>536.06</x:v>
      </x:c>
      <x:c r="N40" s="16" t="n">
        <x:v>0.12407344529006377</x:v>
      </x:c>
      <x:c r="O40" s="16" t="n">
        <x:v>0.5669260700389105</x:v>
      </x:c>
    </x:row>
    <x:row r="41">
      <x:c r="A41" s="16" t="str">
        <x:v>All</x:v>
      </x:c>
      <x:c r="B41" s="16" t="str">
        <x:v>All</x:v>
      </x:c>
      <x:c r="C41" s="16" t="str">
        <x:v>2015-10</x:v>
      </x:c>
      <x:c r="D41" s="16" t="n">
        <x:v>5302</x:v>
      </x:c>
      <x:c r="E41" s="16" t="n">
        <x:v>1775</x:v>
      </x:c>
      <x:c r="F41" s="16" t="n">
        <x:v>11703</x:v>
      </x:c>
      <x:c r="G41" s="16" t="n">
        <x:v>1049154.25</x:v>
      </x:c>
      <x:c r="H41" s="16" t="n">
        <x:v>943131.09</x:v>
      </x:c>
      <x:c r="I41" s="16" t="n">
        <x:v>106024.42</x:v>
      </x:c>
      <x:c r="J41" s="16" t="n">
        <x:v>101757.87</x:v>
      </x:c>
      <x:c r="K41" s="16" t="n">
        <x:v>2906</x:v>
      </x:c>
      <x:c r="L41" s="16" t="n">
        <x:v>591.07</x:v>
      </x:c>
      <x:c r="M41" s="16" t="n">
        <x:v>531.34</x:v>
      </x:c>
      <x:c r="N41" s="16" t="n">
        <x:v>0.10789366513195954</x:v>
      </x:c>
      <x:c r="O41" s="16" t="n">
        <x:v>0.5480950584685025</x:v>
      </x:c>
    </x:row>
    <x:row r="42">
      <x:c r="A42" s="16" t="str">
        <x:v>All</x:v>
      </x:c>
      <x:c r="B42" s="16" t="str">
        <x:v>All</x:v>
      </x:c>
      <x:c r="C42" s="16" t="str">
        <x:v>2015-11</x:v>
      </x:c>
      <x:c r="D42" s="16" t="n">
        <x:v>5235</x:v>
      </x:c>
      <x:c r="E42" s="16" t="n">
        <x:v>1729</x:v>
      </x:c>
      <x:c r="F42" s="16" t="n">
        <x:v>11463</x:v>
      </x:c>
      <x:c r="G42" s="16" t="n">
        <x:v>1029120.22</x:v>
      </x:c>
      <x:c r="H42" s="16" t="n">
        <x:v>924602.56</x:v>
      </x:c>
      <x:c r="I42" s="16" t="n">
        <x:v>104518.97</x:v>
      </x:c>
      <x:c r="J42" s="16" t="n">
        <x:v>104427.36</x:v>
      </x:c>
      <x:c r="K42" s="16" t="n">
        <x:v>2841</x:v>
      </x:c>
      <x:c r="L42" s="16" t="n">
        <x:v>595.21</x:v>
      </x:c>
      <x:c r="M42" s="16" t="n">
        <x:v>534.76</x:v>
      </x:c>
      <x:c r="N42" s="16" t="n">
        <x:v>0.11294297086955934</x:v>
      </x:c>
      <x:c r="O42" s="16" t="n">
        <x:v>0.5426934097421203</x:v>
      </x:c>
    </x:row>
    <x:row r="43">
      <x:c r="A43" s="16" t="str">
        <x:v>All</x:v>
      </x:c>
      <x:c r="B43" s="16" t="str">
        <x:v>All</x:v>
      </x:c>
      <x:c r="C43" s="16" t="str">
        <x:v>2015-12</x:v>
      </x:c>
      <x:c r="D43" s="16" t="n">
        <x:v>5371</x:v>
      </x:c>
      <x:c r="E43" s="16" t="n">
        <x:v>1805</x:v>
      </x:c>
      <x:c r="F43" s="16" t="n">
        <x:v>11790</x:v>
      </x:c>
      <x:c r="G43" s="16" t="n">
        <x:v>1057840.86</x:v>
      </x:c>
      <x:c r="H43" s="16" t="n">
        <x:v>950526.91</x:v>
      </x:c>
      <x:c r="I43" s="16" t="n">
        <x:v>107315.25</x:v>
      </x:c>
      <x:c r="J43" s="16" t="n">
        <x:v>110641.55</x:v>
      </x:c>
      <x:c r="K43" s="16" t="n">
        <x:v>2937</x:v>
      </x:c>
      <x:c r="L43" s="16" t="n">
        <x:v>586.06</x:v>
      </x:c>
      <x:c r="M43" s="16" t="n">
        <x:v>526.61</x:v>
      </x:c>
      <x:c r="N43" s="16" t="n">
        <x:v>0.11640022900561542</x:v>
      </x:c>
      <x:c r="O43" s="16" t="n">
        <x:v>0.5468255445913238</x:v>
      </x:c>
    </x:row>
    <x:row r="44">
      <x:c r="A44" s="16" t="str">
        <x:v>All</x:v>
      </x:c>
      <x:c r="B44" s="16" t="str">
        <x:v>All</x:v>
      </x:c>
      <x:c r="C44" s="16" t="str">
        <x:v>2016-01</x:v>
      </x:c>
      <x:c r="D44" s="16" t="n">
        <x:v>5317</x:v>
      </x:c>
      <x:c r="E44" s="16" t="n">
        <x:v>1772</x:v>
      </x:c>
      <x:c r="F44" s="16" t="n">
        <x:v>11597</x:v>
      </x:c>
      <x:c r="G44" s="16" t="n">
        <x:v>1046308.23</x:v>
      </x:c>
      <x:c r="H44" s="16" t="n">
        <x:v>940283.62</x:v>
      </x:c>
      <x:c r="I44" s="16" t="n">
        <x:v>106025.88</x:v>
      </x:c>
      <x:c r="J44" s="16" t="n">
        <x:v>106780.95</x:v>
      </x:c>
      <x:c r="K44" s="16" t="n">
        <x:v>2955</x:v>
      </x:c>
      <x:c r="L44" s="16" t="n">
        <x:v>590.47</x:v>
      </x:c>
      <x:c r="M44" s="16" t="n">
        <x:v>530.63</x:v>
      </x:c>
      <x:c r="N44" s="16" t="n">
        <x:v>0.1135624908578116</x:v>
      </x:c>
      <x:c r="O44" s="16" t="n">
        <x:v>0.5557645288696633</x:v>
      </x:c>
    </x:row>
    <x:row r="45">
      <x:c r="A45" s="16" t="str">
        <x:v>All</x:v>
      </x:c>
      <x:c r="B45" s="16" t="str">
        <x:v>All</x:v>
      </x:c>
      <x:c r="C45" s="16" t="str">
        <x:v>2016-02</x:v>
      </x:c>
      <x:c r="D45" s="16" t="n">
        <x:v>4894</x:v>
      </x:c>
      <x:c r="E45" s="16" t="n">
        <x:v>1650</x:v>
      </x:c>
      <x:c r="F45" s="16" t="n">
        <x:v>10765</x:v>
      </x:c>
      <x:c r="G45" s="16" t="n">
        <x:v>968542.83</x:v>
      </x:c>
      <x:c r="H45" s="16" t="n">
        <x:v>870116.74</x:v>
      </x:c>
      <x:c r="I45" s="16" t="n">
        <x:v>98427.3</x:v>
      </x:c>
      <x:c r="J45" s="16" t="n">
        <x:v>86809.49</x:v>
      </x:c>
      <x:c r="K45" s="16" t="n">
        <x:v>2650</x:v>
      </x:c>
      <x:c r="L45" s="16" t="n">
        <x:v>587</x:v>
      </x:c>
      <x:c r="M45" s="16" t="n">
        <x:v>527.34</x:v>
      </x:c>
      <x:c r="N45" s="16" t="n">
        <x:v>0.09976763577724065</x:v>
      </x:c>
      <x:c r="O45" s="16" t="n">
        <x:v>0.5414793624846751</x:v>
      </x:c>
    </x:row>
    <x:row r="46">
      <x:c r="A46" s="16" t="str">
        <x:v>All</x:v>
      </x:c>
      <x:c r="B46" s="16" t="str">
        <x:v>All</x:v>
      </x:c>
      <x:c r="C46" s="16" t="str">
        <x:v>2016-03</x:v>
      </x:c>
      <x:c r="D46" s="16" t="n">
        <x:v>5210</x:v>
      </x:c>
      <x:c r="E46" s="16" t="n">
        <x:v>1764</x:v>
      </x:c>
      <x:c r="F46" s="16" t="n">
        <x:v>11349</x:v>
      </x:c>
      <x:c r="G46" s="16" t="n">
        <x:v>1025853.1</x:v>
      </x:c>
      <x:c r="H46" s="16" t="n">
        <x:v>921487.72</x:v>
      </x:c>
      <x:c r="I46" s="16" t="n">
        <x:v>104366.66</x:v>
      </x:c>
      <x:c r="J46" s="16" t="n">
        <x:v>101259.99</x:v>
      </x:c>
      <x:c r="K46" s="16" t="n">
        <x:v>2905</x:v>
      </x:c>
      <x:c r="L46" s="16" t="n">
        <x:v>581.55</x:v>
      </x:c>
      <x:c r="M46" s="16" t="n">
        <x:v>522.39</x:v>
      </x:c>
      <x:c r="N46" s="16" t="n">
        <x:v>0.10988750886446974</x:v>
      </x:c>
      <x:c r="O46" s="16" t="n">
        <x:v>0.5575815738963532</x:v>
      </x:c>
    </x:row>
    <x:row r="47">
      <x:c r="A47" s="16" t="str">
        <x:v>All</x:v>
      </x:c>
      <x:c r="B47" s="16" t="str">
        <x:v>All</x:v>
      </x:c>
      <x:c r="C47" s="16" t="str">
        <x:v>2016-04</x:v>
      </x:c>
      <x:c r="D47" s="16" t="n">
        <x:v>5097</x:v>
      </x:c>
      <x:c r="E47" s="16" t="n">
        <x:v>1706</x:v>
      </x:c>
      <x:c r="F47" s="16" t="n">
        <x:v>11208</x:v>
      </x:c>
      <x:c r="G47" s="16" t="n">
        <x:v>1001211.56</x:v>
      </x:c>
      <x:c r="H47" s="16" t="n">
        <x:v>900492.91</x:v>
      </x:c>
      <x:c r="I47" s="16" t="n">
        <x:v>100719.84</x:v>
      </x:c>
      <x:c r="J47" s="16" t="n">
        <x:v>114976.62</x:v>
      </x:c>
      <x:c r="K47" s="16" t="n">
        <x:v>2815</x:v>
      </x:c>
      <x:c r="L47" s="16" t="n">
        <x:v>586.88</x:v>
      </x:c>
      <x:c r="M47" s="16" t="n">
        <x:v>527.84</x:v>
      </x:c>
      <x:c r="N47" s="16" t="n">
        <x:v>0.1276818714763673</x:v>
      </x:c>
      <x:c r="O47" s="16" t="n">
        <x:v>0.5522856582303316</x:v>
      </x:c>
    </x:row>
    <x:row r="48">
      <x:c r="A48" s="16" t="str">
        <x:v>All</x:v>
      </x:c>
      <x:c r="B48" s="16" t="str">
        <x:v>All</x:v>
      </x:c>
      <x:c r="C48" s="16" t="str">
        <x:v>2016-05</x:v>
      </x:c>
      <x:c r="D48" s="16" t="n">
        <x:v>5302</x:v>
      </x:c>
      <x:c r="E48" s="16" t="n">
        <x:v>1763</x:v>
      </x:c>
      <x:c r="F48" s="16" t="n">
        <x:v>11603</x:v>
      </x:c>
      <x:c r="G48" s="16" t="n">
        <x:v>1029400.18</x:v>
      </x:c>
      <x:c r="H48" s="16" t="n">
        <x:v>924978.21</x:v>
      </x:c>
      <x:c r="I48" s="16" t="n">
        <x:v>104423.22</x:v>
      </x:c>
      <x:c r="J48" s="16" t="n">
        <x:v>110716.12</x:v>
      </x:c>
      <x:c r="K48" s="16" t="n">
        <x:v>2951</x:v>
      </x:c>
      <x:c r="L48" s="16" t="n">
        <x:v>583.89</x:v>
      </x:c>
      <x:c r="M48" s="16" t="n">
        <x:v>524.66</x:v>
      </x:c>
      <x:c r="N48" s="16" t="n">
        <x:v>0.11969592235043029</x:v>
      </x:c>
      <x:c r="O48" s="16" t="n">
        <x:v>0.5565824217276499</x:v>
      </x:c>
    </x:row>
    <x:row r="49">
      <x:c r="A49" s="16" t="str">
        <x:v>All</x:v>
      </x:c>
      <x:c r="B49" s="16" t="str">
        <x:v>All</x:v>
      </x:c>
      <x:c r="C49" s="16" t="str">
        <x:v>2016-06</x:v>
      </x:c>
      <x:c r="D49" s="16" t="n">
        <x:v>5054</x:v>
      </x:c>
      <x:c r="E49" s="16" t="n">
        <x:v>1690</x:v>
      </x:c>
      <x:c r="F49" s="16" t="n">
        <x:v>11008</x:v>
      </x:c>
      <x:c r="G49" s="16" t="n">
        <x:v>1003059.53</x:v>
      </x:c>
      <x:c r="H49" s="16" t="n">
        <x:v>901448</x:v>
      </x:c>
      <x:c r="I49" s="16" t="n">
        <x:v>101612.76</x:v>
      </x:c>
      <x:c r="J49" s="16" t="n">
        <x:v>104196.07</x:v>
      </x:c>
      <x:c r="K49" s="16" t="n">
        <x:v>2873</x:v>
      </x:c>
      <x:c r="L49" s="16" t="n">
        <x:v>593.53</x:v>
      </x:c>
      <x:c r="M49" s="16" t="n">
        <x:v>533.4</x:v>
      </x:c>
      <x:c r="N49" s="16" t="n">
        <x:v>0.11558744375715516</x:v>
      </x:c>
      <x:c r="O49" s="16" t="n">
        <x:v>0.5684606252473289</x:v>
      </x:c>
    </x:row>
    <x:row r="50">
      <x:c r="A50" s="16" t="str">
        <x:v>All</x:v>
      </x:c>
      <x:c r="B50" s="16" t="str">
        <x:v>All</x:v>
      </x:c>
      <x:c r="C50" s="16" t="str">
        <x:v>2016-07</x:v>
      </x:c>
      <x:c r="D50" s="16" t="n">
        <x:v>5305</x:v>
      </x:c>
      <x:c r="E50" s="16" t="n">
        <x:v>1758</x:v>
      </x:c>
      <x:c r="F50" s="16" t="n">
        <x:v>11652</x:v>
      </x:c>
      <x:c r="G50" s="16" t="n">
        <x:v>1045715.6</x:v>
      </x:c>
      <x:c r="H50" s="16" t="n">
        <x:v>939216.39</x:v>
      </x:c>
      <x:c r="I50" s="16" t="n">
        <x:v>106500.52</x:v>
      </x:c>
      <x:c r="J50" s="16" t="n">
        <x:v>119941.72</x:v>
      </x:c>
      <x:c r="K50" s="16" t="n">
        <x:v>2755</x:v>
      </x:c>
      <x:c r="L50" s="16" t="n">
        <x:v>594.83</x:v>
      </x:c>
      <x:c r="M50" s="16" t="n">
        <x:v>534.25</x:v>
      </x:c>
      <x:c r="N50" s="16" t="n">
        <x:v>0.1277040320814674</x:v>
      </x:c>
      <x:c r="O50" s="16" t="n">
        <x:v>0.5193213949104618</x:v>
      </x:c>
    </x:row>
    <x:row r="51">
      <x:c r="A51" s="16" t="str">
        <x:v>All</x:v>
      </x:c>
      <x:c r="B51" s="16" t="str">
        <x:v>All</x:v>
      </x:c>
      <x:c r="C51" s="16" t="str">
        <x:v>2016-08</x:v>
      </x:c>
      <x:c r="D51" s="16" t="n">
        <x:v>5334</x:v>
      </x:c>
      <x:c r="E51" s="16" t="n">
        <x:v>1766</x:v>
      </x:c>
      <x:c r="F51" s="16" t="n">
        <x:v>11683</x:v>
      </x:c>
      <x:c r="G51" s="16" t="n">
        <x:v>1048200.23</x:v>
      </x:c>
      <x:c r="H51" s="16" t="n">
        <x:v>942408.93</x:v>
      </x:c>
      <x:c r="I51" s="16" t="n">
        <x:v>105792.52</x:v>
      </x:c>
      <x:c r="J51" s="16" t="n">
        <x:v>110729.54</x:v>
      </x:c>
      <x:c r="K51" s="16" t="n">
        <x:v>2948</x:v>
      </x:c>
      <x:c r="L51" s="16" t="n">
        <x:v>593.54</x:v>
      </x:c>
      <x:c r="M51" s="16" t="n">
        <x:v>533.64</x:v>
      </x:c>
      <x:c r="N51" s="16" t="n">
        <x:v>0.11749627627149076</x:v>
      </x:c>
      <x:c r="O51" s="16" t="n">
        <x:v>0.5526809148856393</x:v>
      </x:c>
    </x:row>
    <x:row r="52">
      <x:c r="A52" s="16" t="str">
        <x:v>All</x:v>
      </x:c>
      <x:c r="B52" s="16" t="str">
        <x:v>All</x:v>
      </x:c>
      <x:c r="C52" s="16" t="str">
        <x:v>2016-09</x:v>
      </x:c>
      <x:c r="D52" s="16" t="n">
        <x:v>5160</x:v>
      </x:c>
      <x:c r="E52" s="16" t="n">
        <x:v>1730</x:v>
      </x:c>
      <x:c r="F52" s="16" t="n">
        <x:v>11284</x:v>
      </x:c>
      <x:c r="G52" s="16" t="n">
        <x:v>1002397.02</x:v>
      </x:c>
      <x:c r="H52" s="16" t="n">
        <x:v>900371.62</x:v>
      </x:c>
      <x:c r="I52" s="16" t="n">
        <x:v>102026.62</x:v>
      </x:c>
      <x:c r="J52" s="16" t="n">
        <x:v>123384.71</x:v>
      </x:c>
      <x:c r="K52" s="16" t="n">
        <x:v>2837</x:v>
      </x:c>
      <x:c r="L52" s="16" t="n">
        <x:v>579.42</x:v>
      </x:c>
      <x:c r="M52" s="16" t="n">
        <x:v>520.45</x:v>
      </x:c>
      <x:c r="N52" s="16" t="n">
        <x:v>0.13703753790018394</x:v>
      </x:c>
      <x:c r="O52" s="16" t="n">
        <x:v>0.5498062015503876</x:v>
      </x:c>
    </x:row>
    <x:row r="53">
      <x:c r="A53" s="16" t="str">
        <x:v>All</x:v>
      </x:c>
      <x:c r="B53" s="16" t="str">
        <x:v>All</x:v>
      </x:c>
      <x:c r="C53" s="16" t="str">
        <x:v>2016-10</x:v>
      </x:c>
      <x:c r="D53" s="16" t="n">
        <x:v>5398</x:v>
      </x:c>
      <x:c r="E53" s="16" t="n">
        <x:v>1776</x:v>
      </x:c>
      <x:c r="F53" s="16" t="n">
        <x:v>11936</x:v>
      </x:c>
      <x:c r="G53" s="16" t="n">
        <x:v>1048130.53</x:v>
      </x:c>
      <x:c r="H53" s="16" t="n">
        <x:v>941882.27</x:v>
      </x:c>
      <x:c r="I53" s="16" t="n">
        <x:v>106249.53</x:v>
      </x:c>
      <x:c r="J53" s="16" t="n">
        <x:v>116781.97</x:v>
      </x:c>
      <x:c r="K53" s="16" t="n">
        <x:v>2957</x:v>
      </x:c>
      <x:c r="L53" s="16" t="n">
        <x:v>590.16</x:v>
      </x:c>
      <x:c r="M53" s="16" t="n">
        <x:v>530.34</x:v>
      </x:c>
      <x:c r="N53" s="16" t="n">
        <x:v>0.12398786315406489</x:v>
      </x:c>
      <x:c r="O53" s="16" t="n">
        <x:v>0.547795479807336</x:v>
      </x:c>
    </x:row>
    <x:row r="54">
      <x:c r="A54" s="16" t="str">
        <x:v>All</x:v>
      </x:c>
      <x:c r="B54" s="16" t="str">
        <x:v>All</x:v>
      </x:c>
      <x:c r="C54" s="16" t="str">
        <x:v>2016-11</x:v>
      </x:c>
      <x:c r="D54" s="16" t="n">
        <x:v>5210</x:v>
      </x:c>
      <x:c r="E54" s="16" t="n">
        <x:v>1721</x:v>
      </x:c>
      <x:c r="F54" s="16" t="n">
        <x:v>11493</x:v>
      </x:c>
      <x:c r="G54" s="16" t="n">
        <x:v>1047590.12</x:v>
      </x:c>
      <x:c r="H54" s="16" t="n">
        <x:v>941197.35</x:v>
      </x:c>
      <x:c r="I54" s="16" t="n">
        <x:v>106394.08</x:v>
      </x:c>
      <x:c r="J54" s="16" t="n">
        <x:v>109539.2</x:v>
      </x:c>
      <x:c r="K54" s="16" t="n">
        <x:v>2846</x:v>
      </x:c>
      <x:c r="L54" s="16" t="n">
        <x:v>608.71</x:v>
      </x:c>
      <x:c r="M54" s="16" t="n">
        <x:v>546.89</x:v>
      </x:c>
      <x:c r="N54" s="16" t="n">
        <x:v>0.11638281811991927</x:v>
      </x:c>
      <x:c r="O54" s="16" t="n">
        <x:v>0.5462571976967371</x:v>
      </x:c>
    </x:row>
    <x:row r="55">
      <x:c r="A55" s="16" t="str">
        <x:v>All</x:v>
      </x:c>
      <x:c r="B55" s="16" t="str">
        <x:v>All</x:v>
      </x:c>
      <x:c r="C55" s="16" t="str">
        <x:v>2016-12</x:v>
      </x:c>
      <x:c r="D55" s="16" t="n">
        <x:v>5269</x:v>
      </x:c>
      <x:c r="E55" s="16" t="n">
        <x:v>1763</x:v>
      </x:c>
      <x:c r="F55" s="16" t="n">
        <x:v>11774</x:v>
      </x:c>
      <x:c r="G55" s="16" t="n">
        <x:v>1037408.15</x:v>
      </x:c>
      <x:c r="H55" s="16" t="n">
        <x:v>932112.88</x:v>
      </x:c>
      <x:c r="I55" s="16" t="n">
        <x:v>105296.6</x:v>
      </x:c>
      <x:c r="J55" s="16" t="n">
        <x:v>105002.69</x:v>
      </x:c>
      <x:c r="K55" s="16" t="n">
        <x:v>2954</x:v>
      </x:c>
      <x:c r="L55" s="16" t="n">
        <x:v>588.43</x:v>
      </x:c>
      <x:c r="M55" s="16" t="n">
        <x:v>528.71</x:v>
      </x:c>
      <x:c r="N55" s="16" t="n">
        <x:v>0.11265018674562248</x:v>
      </x:c>
      <x:c r="O55" s="16" t="n">
        <x:v>0.5606376921617006</x:v>
      </x:c>
    </x:row>
    <x:row r="56">
      <x:c r="A56" s="16" t="str">
        <x:v>All</x:v>
      </x:c>
      <x:c r="B56" s="16" t="str">
        <x:v>All</x:v>
      </x:c>
      <x:c r="C56" s="16" t="str">
        <x:v>2017-01</x:v>
      </x:c>
      <x:c r="D56" s="16" t="n">
        <x:v>5217</x:v>
      </x:c>
      <x:c r="E56" s="16" t="n">
        <x:v>1745</x:v>
      </x:c>
      <x:c r="F56" s="16" t="n">
        <x:v>11605</x:v>
      </x:c>
      <x:c r="G56" s="16" t="n">
        <x:v>1029698</x:v>
      </x:c>
      <x:c r="H56" s="16" t="n">
        <x:v>925472.61</x:v>
      </x:c>
      <x:c r="I56" s="16" t="n">
        <x:v>104226.64</x:v>
      </x:c>
      <x:c r="J56" s="16" t="n">
        <x:v>114843.85</x:v>
      </x:c>
      <x:c r="K56" s="16" t="n">
        <x:v>2797</x:v>
      </x:c>
      <x:c r="L56" s="16" t="n">
        <x:v>590.08</x:v>
      </x:c>
      <x:c r="M56" s="16" t="n">
        <x:v>530.36</x:v>
      </x:c>
      <x:c r="N56" s="16" t="n">
        <x:v>0.12409211116469455</x:v>
      </x:c>
      <x:c r="O56" s="16" t="n">
        <x:v>0.5361318765574085</x:v>
      </x:c>
    </x:row>
    <x:row r="57">
      <x:c r="A57" s="16" t="str">
        <x:v>All</x:v>
      </x:c>
      <x:c r="B57" s="16" t="str">
        <x:v>All</x:v>
      </x:c>
      <x:c r="C57" s="16" t="str">
        <x:v>2017-02</x:v>
      </x:c>
      <x:c r="D57" s="16" t="n">
        <x:v>4906</x:v>
      </x:c>
      <x:c r="E57" s="16" t="n">
        <x:v>1614</x:v>
      </x:c>
      <x:c r="F57" s="16" t="n">
        <x:v>11070</x:v>
      </x:c>
      <x:c r="G57" s="16" t="n">
        <x:v>992534.88</x:v>
      </x:c>
      <x:c r="H57" s="16" t="n">
        <x:v>891924.28</x:v>
      </x:c>
      <x:c r="I57" s="16" t="n">
        <x:v>100611.81</x:v>
      </x:c>
      <x:c r="J57" s="16" t="n">
        <x:v>115111.07</x:v>
      </x:c>
      <x:c r="K57" s="16" t="n">
        <x:v>2682</x:v>
      </x:c>
      <x:c r="L57" s="16" t="n">
        <x:v>614.95</x:v>
      </x:c>
      <x:c r="M57" s="16" t="n">
        <x:v>552.62</x:v>
      </x:c>
      <x:c r="N57" s="16" t="n">
        <x:v>0.12905924032026575</x:v>
      </x:c>
      <x:c r="O57" s="16" t="n">
        <x:v>0.5466775377089278</x:v>
      </x:c>
    </x:row>
    <x:row r="58">
      <x:c r="A58" s="16" t="str">
        <x:v>All</x:v>
      </x:c>
      <x:c r="B58" s="16" t="str">
        <x:v>All</x:v>
      </x:c>
      <x:c r="C58" s="16" t="str">
        <x:v>2017-03</x:v>
      </x:c>
      <x:c r="D58" s="16" t="n">
        <x:v>5347</x:v>
      </x:c>
      <x:c r="E58" s="16" t="n">
        <x:v>1782</x:v>
      </x:c>
      <x:c r="F58" s="16" t="n">
        <x:v>11676</x:v>
      </x:c>
      <x:c r="G58" s="16" t="n">
        <x:v>1048004.76</x:v>
      </x:c>
      <x:c r="H58" s="16" t="n">
        <x:v>942290.42</x:v>
      </x:c>
      <x:c r="I58" s="16" t="n">
        <x:v>105715.63</x:v>
      </x:c>
      <x:c r="J58" s="16" t="n">
        <x:v>118688.9</x:v>
      </x:c>
      <x:c r="K58" s="16" t="n">
        <x:v>2955</x:v>
      </x:c>
      <x:c r="L58" s="16" t="n">
        <x:v>588.11</x:v>
      </x:c>
      <x:c r="M58" s="16" t="n">
        <x:v>528.78</x:v>
      </x:c>
      <x:c r="N58" s="16" t="n">
        <x:v>0.12595787612910253</x:v>
      </x:c>
      <x:c r="O58" s="16" t="n">
        <x:v>0.5526463437441556</x:v>
      </x:c>
    </x:row>
    <x:row r="59">
      <x:c r="A59" s="16" t="str">
        <x:v>All</x:v>
      </x:c>
      <x:c r="B59" s="16" t="str">
        <x:v>All</x:v>
      </x:c>
      <x:c r="C59" s="16" t="str">
        <x:v>2017-04</x:v>
      </x:c>
      <x:c r="D59" s="16" t="n">
        <x:v>5212</x:v>
      </x:c>
      <x:c r="E59" s="16" t="n">
        <x:v>1739</x:v>
      </x:c>
      <x:c r="F59" s="16" t="n">
        <x:v>11189</x:v>
      </x:c>
      <x:c r="G59" s="16" t="n">
        <x:v>1038321.6</x:v>
      </x:c>
      <x:c r="H59" s="16" t="n">
        <x:v>932318.19</x:v>
      </x:c>
      <x:c r="I59" s="16" t="n">
        <x:v>106004.69</x:v>
      </x:c>
      <x:c r="J59" s="16" t="n">
        <x:v>115961.06</x:v>
      </x:c>
      <x:c r="K59" s="16" t="n">
        <x:v>2803</x:v>
      </x:c>
      <x:c r="L59" s="16" t="n">
        <x:v>597.08</x:v>
      </x:c>
      <x:c r="M59" s="16" t="n">
        <x:v>536.12</x:v>
      </x:c>
      <x:c r="N59" s="16" t="n">
        <x:v>0.12437927441917655</x:v>
      </x:c>
      <x:c r="O59" s="16" t="n">
        <x:v>0.5377973906369916</x:v>
      </x:c>
    </x:row>
    <x:row r="60">
      <x:c r="A60" s="16" t="str">
        <x:v>All</x:v>
      </x:c>
      <x:c r="B60" s="16" t="str">
        <x:v>All</x:v>
      </x:c>
      <x:c r="C60" s="16" t="str">
        <x:v>2017-05</x:v>
      </x:c>
      <x:c r="D60" s="16" t="n">
        <x:v>5317</x:v>
      </x:c>
      <x:c r="E60" s="16" t="n">
        <x:v>1763</x:v>
      </x:c>
      <x:c r="F60" s="16" t="n">
        <x:v>11033</x:v>
      </x:c>
      <x:c r="G60" s="16" t="n">
        <x:v>1105485.3</x:v>
      </x:c>
      <x:c r="H60" s="16" t="n">
        <x:v>993199.04</x:v>
      </x:c>
      <x:c r="I60" s="16" t="n">
        <x:v>112287.53</x:v>
      </x:c>
      <x:c r="J60" s="16" t="n">
        <x:v>115014.64</x:v>
      </x:c>
      <x:c r="K60" s="16" t="n">
        <x:v>2843</x:v>
      </x:c>
      <x:c r="L60" s="16" t="n">
        <x:v>627.05</x:v>
      </x:c>
      <x:c r="M60" s="16" t="n">
        <x:v>563.36</x:v>
      </x:c>
      <x:c r="N60" s="16" t="n">
        <x:v>0.11580220617208813</x:v>
      </x:c>
      <x:c r="O60" s="16" t="n">
        <x:v>0.5347000188075983</x:v>
      </x:c>
    </x:row>
    <x:row r="61">
      <x:c r="A61" s="16" t="str">
        <x:v>All</x:v>
      </x:c>
      <x:c r="B61" s="16" t="str">
        <x:v>All</x:v>
      </x:c>
      <x:c r="C61" s="16" t="str">
        <x:v>2017-06</x:v>
      </x:c>
      <x:c r="D61" s="16" t="n">
        <x:v>4951</x:v>
      </x:c>
      <x:c r="E61" s="16" t="n">
        <x:v>1676</x:v>
      </x:c>
      <x:c r="F61" s="16" t="n">
        <x:v>10194</x:v>
      </x:c>
      <x:c r="G61" s="16" t="n">
        <x:v>1032086.47</x:v>
      </x:c>
      <x:c r="H61" s="16" t="n">
        <x:v>927445.96</x:v>
      </x:c>
      <x:c r="I61" s="16" t="n">
        <x:v>104641.62</x:v>
      </x:c>
      <x:c r="J61" s="16" t="n">
        <x:v>110399.29</x:v>
      </x:c>
      <x:c r="K61" s="16" t="n">
        <x:v>2649</x:v>
      </x:c>
      <x:c r="L61" s="16" t="n">
        <x:v>615.8</x:v>
      </x:c>
      <x:c r="M61" s="16" t="n">
        <x:v>553.37</x:v>
      </x:c>
      <x:c r="N61" s="16" t="n">
        <x:v>0.11903581961799693</x:v>
      </x:c>
      <x:c r="O61" s="16" t="n">
        <x:v>0.5350434255705918</x:v>
      </x:c>
    </x:row>
    <x:row r="62">
      <x:c r="A62" s="16" t="str">
        <x:v>All</x:v>
      </x:c>
      <x:c r="B62" s="16" t="str">
        <x:v>All</x:v>
      </x:c>
      <x:c r="C62" s="16" t="str">
        <x:v>2017-07</x:v>
      </x:c>
      <x:c r="D62" s="16" t="n">
        <x:v>5318</x:v>
      </x:c>
      <x:c r="E62" s="16" t="n">
        <x:v>1776</x:v>
      </x:c>
      <x:c r="F62" s="16" t="n">
        <x:v>11091</x:v>
      </x:c>
      <x:c r="G62" s="16" t="n">
        <x:v>1104373.34</x:v>
      </x:c>
      <x:c r="H62" s="16" t="n">
        <x:v>992423.42</x:v>
      </x:c>
      <x:c r="I62" s="16" t="n">
        <x:v>111951.16</x:v>
      </x:c>
      <x:c r="J62" s="16" t="n">
        <x:v>113026.7</x:v>
      </x:c>
      <x:c r="K62" s="16" t="n">
        <x:v>2913</x:v>
      </x:c>
      <x:c r="L62" s="16" t="n">
        <x:v>621.83</x:v>
      </x:c>
      <x:c r="M62" s="16" t="n">
        <x:v>558.8</x:v>
      </x:c>
      <x:c r="N62" s="16" t="n">
        <x:v>0.11388959361720825</x:v>
      </x:c>
      <x:c r="O62" s="16" t="n">
        <x:v>0.5477623166603987</x:v>
      </x:c>
    </x:row>
    <x:row r="63">
      <x:c r="A63" s="16" t="str">
        <x:v>All</x:v>
      </x:c>
      <x:c r="B63" s="16" t="str">
        <x:v>All</x:v>
      </x:c>
      <x:c r="C63" s="16" t="str">
        <x:v>2017-08</x:v>
      </x:c>
      <x:c r="D63" s="16" t="n">
        <x:v>5305</x:v>
      </x:c>
      <x:c r="E63" s="16" t="n">
        <x:v>1768</x:v>
      </x:c>
      <x:c r="F63" s="16" t="n">
        <x:v>11095</x:v>
      </x:c>
      <x:c r="G63" s="16" t="n">
        <x:v>1109337.15</x:v>
      </x:c>
      <x:c r="H63" s="16" t="n">
        <x:v>996507.87</x:v>
      </x:c>
      <x:c r="I63" s="16" t="n">
        <x:v>112830.56</x:v>
      </x:c>
      <x:c r="J63" s="16" t="n">
        <x:v>131501.16</x:v>
      </x:c>
      <x:c r="K63" s="16" t="n">
        <x:v>2994</x:v>
      </x:c>
      <x:c r="L63" s="16" t="n">
        <x:v>627.45</x:v>
      </x:c>
      <x:c r="M63" s="16" t="n">
        <x:v>563.64</x:v>
      </x:c>
      <x:c r="N63" s="16" t="n">
        <x:v>0.1319619884186163</x:v>
      </x:c>
      <x:c r="O63" s="16" t="n">
        <x:v>0.564373232799246</x:v>
      </x:c>
    </x:row>
    <x:row r="64">
      <x:c r="A64" s="16" t="str">
        <x:v>All</x:v>
      </x:c>
      <x:c r="B64" s="16" t="str">
        <x:v>All</x:v>
      </x:c>
      <x:c r="C64" s="16" t="str">
        <x:v>2017-09</x:v>
      </x:c>
      <x:c r="D64" s="16" t="n">
        <x:v>5189</x:v>
      </x:c>
      <x:c r="E64" s="16" t="n">
        <x:v>1723</x:v>
      </x:c>
      <x:c r="F64" s="16" t="n">
        <x:v>10502</x:v>
      </x:c>
      <x:c r="G64" s="16" t="n">
        <x:v>1143775.09</x:v>
      </x:c>
      <x:c r="H64" s="16" t="n">
        <x:v>1027111.72</x:v>
      </x:c>
      <x:c r="I64" s="16" t="n">
        <x:v>116664.51</x:v>
      </x:c>
      <x:c r="J64" s="16" t="n">
        <x:v>122462.39</x:v>
      </x:c>
      <x:c r="K64" s="16" t="n">
        <x:v>2814</x:v>
      </x:c>
      <x:c r="L64" s="16" t="n">
        <x:v>663.83</x:v>
      </x:c>
      <x:c r="M64" s="16" t="n">
        <x:v>596.12</x:v>
      </x:c>
      <x:c r="N64" s="16" t="n">
        <x:v>0.11922986332976514</x:v>
      </x:c>
      <x:c r="O64" s="16" t="n">
        <x:v>0.5423010213914049</x:v>
      </x:c>
    </x:row>
    <x:row r="65">
      <x:c r="A65" s="16" t="str">
        <x:v>All</x:v>
      </x:c>
      <x:c r="B65" s="16" t="str">
        <x:v>All</x:v>
      </x:c>
      <x:c r="C65" s="16" t="str">
        <x:v>2017-10</x:v>
      </x:c>
      <x:c r="D65" s="16" t="n">
        <x:v>2255</x:v>
      </x:c>
      <x:c r="E65" s="16" t="n">
        <x:v>2101</x:v>
      </x:c>
      <x:c r="F65" s="16" t="n">
        <x:v>2490</x:v>
      </x:c>
      <x:c r="G65" s="16" t="n">
        <x:v>1073994.16</x:v>
      </x:c>
      <x:c r="H65" s="16" t="n">
        <x:v>966081.41</x:v>
      </x:c>
      <x:c r="I65" s="16" t="n">
        <x:v>107913.68</x:v>
      </x:c>
      <x:c r="J65" s="16" t="n">
        <x:v>113447.17</x:v>
      </x:c>
      <x:c r="K65" s="16" t="n">
        <x:v>1210</x:v>
      </x:c>
      <x:c r="L65" s="16" t="n">
        <x:v>511.18</x:v>
      </x:c>
      <x:c r="M65" s="16" t="n">
        <x:v>459.82</x:v>
      </x:c>
      <x:c r="N65" s="16" t="n">
        <x:v>0.11743023809970632</x:v>
      </x:c>
      <x:c r="O65" s="16" t="n">
        <x:v>0.5365853658536586</x:v>
      </x:c>
    </x:row>
    <x:row r="66">
      <x:c r="A66" s="16" t="str">
        <x:v>All</x:v>
      </x:c>
      <x:c r="B66" s="16" t="str">
        <x:v>All</x:v>
      </x:c>
      <x:c r="C66" s="16" t="str">
        <x:v>2017-11</x:v>
      </x:c>
      <x:c r="D66" s="16" t="n">
        <x:v>2055</x:v>
      </x:c>
      <x:c r="E66" s="16" t="n">
        <x:v>2055</x:v>
      </x:c>
      <x:c r="F66" s="16" t="n">
        <x:v>2055</x:v>
      </x:c>
      <x:c r="G66" s="16" t="n">
        <x:v>626914.37</x:v>
      </x:c>
      <x:c r="H66" s="16" t="n">
        <x:v>563393.47</x:v>
      </x:c>
      <x:c r="I66" s="16" t="n">
        <x:v>63521.58</x:v>
      </x:c>
      <x:c r="J66" s="16" t="n">
        <x:v>67791.25</x:v>
      </x:c>
      <x:c r="K66" s="16" t="n">
        <x:v>1132</x:v>
      </x:c>
      <x:c r="L66" s="16" t="n">
        <x:v>305.07</x:v>
      </x:c>
      <x:c r="M66" s="16" t="n">
        <x:v>274.16</x:v>
      </x:c>
      <x:c r="N66" s="16" t="n">
        <x:v>0.12032665199332183</x:v>
      </x:c>
      <x:c r="O66" s="16" t="n">
        <x:v>0.5508515815085158</x:v>
      </x:c>
    </x:row>
    <x:row r="67">
      <x:c r="A67" s="16" t="str">
        <x:v>All</x:v>
      </x:c>
      <x:c r="B67" s="16" t="str">
        <x:v>All</x:v>
      </x:c>
      <x:c r="C67" s="16" t="str">
        <x:v>2017-12</x:v>
      </x:c>
      <x:c r="D67" s="16" t="n">
        <x:v>2124</x:v>
      </x:c>
      <x:c r="E67" s="16" t="n">
        <x:v>2124</x:v>
      </x:c>
      <x:c r="F67" s="16" t="n">
        <x:v>2124</x:v>
      </x:c>
      <x:c r="G67" s="16" t="n">
        <x:v>503910.81</x:v>
      </x:c>
      <x:c r="H67" s="16" t="n">
        <x:v>452741.53</x:v>
      </x:c>
      <x:c r="I67" s="16" t="n">
        <x:v>51170.48</x:v>
      </x:c>
      <x:c r="J67" s="16" t="n">
        <x:v>65837.63</x:v>
      </x:c>
      <x:c r="K67" s="16" t="n">
        <x:v>1172</x:v>
      </x:c>
      <x:c r="L67" s="16" t="n">
        <x:v>237.25</x:v>
      </x:c>
      <x:c r="M67" s="16" t="n">
        <x:v>213.16</x:v>
      </x:c>
      <x:c r="N67" s="16" t="n">
        <x:v>0.14541990437678645</x:v>
      </x:c>
      <x:c r="O67" s="16" t="n">
        <x:v>0.551789077212806</x:v>
      </x:c>
    </x:row>
    <x:row r="68">
      <x:c r="A68" s="16" t="str">
        <x:v>All</x:v>
      </x:c>
      <x:c r="B68" s="16" t="str">
        <x:v>All</x:v>
      </x:c>
      <x:c r="C68" s="16" t="str">
        <x:v>2018-01</x:v>
      </x:c>
      <x:c r="D68" s="16" t="n">
        <x:v>2123</x:v>
      </x:c>
      <x:c r="E68" s="16" t="n">
        <x:v>2123</x:v>
      </x:c>
      <x:c r="F68" s="16" t="n">
        <x:v>2123</x:v>
      </x:c>
      <x:c r="G68" s="16" t="n">
        <x:v>331650.11</x:v>
      </x:c>
      <x:c r="H68" s="16" t="n">
        <x:v>297952.05</x:v>
      </x:c>
      <x:c r="I68" s="16" t="n">
        <x:v>33699.93</x:v>
      </x:c>
      <x:c r="J68" s="16" t="n">
        <x:v>33841.89</x:v>
      </x:c>
      <x:c r="K68" s="16" t="n">
        <x:v>1195</x:v>
      </x:c>
      <x:c r="L68" s="16" t="n">
        <x:v>156.22</x:v>
      </x:c>
      <x:c r="M68" s="16" t="n">
        <x:v>140.34</x:v>
      </x:c>
      <x:c r="N68" s="16" t="n">
        <x:v>0.11358166523774547</x:v>
      </x:c>
      <x:c r="O68" s="16" t="n">
        <x:v>0.5628827131417805</x:v>
      </x:c>
    </x:row>
    <x:row r="69">
      <x:c r="A69" s="16" t="str">
        <x:v>All</x:v>
      </x:c>
      <x:c r="B69" s="16" t="str">
        <x:v>Consumer</x:v>
      </x:c>
      <x:c r="C69" s="16" t="str">
        <x:v>2015-01</x:v>
      </x:c>
      <x:c r="D69" s="16" t="n">
        <x:v>2763</x:v>
      </x:c>
      <x:c r="E69" s="16" t="n">
        <x:v>928</x:v>
      </x:c>
      <x:c r="F69" s="16" t="n">
        <x:v>6082</x:v>
      </x:c>
      <x:c r="G69" s="16" t="n">
        <x:v>547482.5</x:v>
      </x:c>
      <x:c r="H69" s="16" t="n">
        <x:v>491967.89</x:v>
      </x:c>
      <x:c r="I69" s="16" t="n">
        <x:v>55515.41</x:v>
      </x:c>
      <x:c r="J69" s="16" t="n">
        <x:v>62962.4</x:v>
      </x:c>
      <x:c r="K69" s="16" t="n">
        <x:v>1545</x:v>
      </x:c>
      <x:c r="L69" s="16" t="n">
        <x:v>589.96</x:v>
      </x:c>
      <x:c r="M69" s="16" t="n">
        <x:v>530.14</x:v>
      </x:c>
      <x:c r="N69" s="16" t="n">
        <x:v>0.12798071028578714</x:v>
      </x:c>
      <x:c r="O69" s="16" t="n">
        <x:v>0.5591748099891423</x:v>
      </x:c>
    </x:row>
    <x:row r="70">
      <x:c r="A70" s="16" t="str">
        <x:v>All</x:v>
      </x:c>
      <x:c r="B70" s="16" t="str">
        <x:v>Consumer</x:v>
      </x:c>
      <x:c r="C70" s="16" t="str">
        <x:v>2015-02</x:v>
      </x:c>
      <x:c r="D70" s="16" t="n">
        <x:v>2418</x:v>
      </x:c>
      <x:c r="E70" s="16" t="n">
        <x:v>815</x:v>
      </x:c>
      <x:c r="F70" s="16" t="n">
        <x:v>5309</x:v>
      </x:c>
      <x:c r="G70" s="16" t="n">
        <x:v>476562.84</x:v>
      </x:c>
      <x:c r="H70" s="16" t="n">
        <x:v>428519.87</x:v>
      </x:c>
      <x:c r="I70" s="16" t="n">
        <x:v>48043.58</x:v>
      </x:c>
      <x:c r="J70" s="16" t="n">
        <x:v>50244.79</x:v>
      </x:c>
      <x:c r="K70" s="16" t="n">
        <x:v>1341</x:v>
      </x:c>
      <x:c r="L70" s="16" t="n">
        <x:v>584.74</x:v>
      </x:c>
      <x:c r="M70" s="16" t="n">
        <x:v>525.79</x:v>
      </x:c>
      <x:c r="N70" s="16" t="n">
        <x:v>0.11725194913365394</x:v>
      </x:c>
      <x:c r="O70" s="16" t="n">
        <x:v>0.5545905707196029</x:v>
      </x:c>
    </x:row>
    <x:row r="71">
      <x:c r="A71" s="16" t="str">
        <x:v>All</x:v>
      </x:c>
      <x:c r="B71" s="16" t="str">
        <x:v>Consumer</x:v>
      </x:c>
      <x:c r="C71" s="16" t="str">
        <x:v>2015-03</x:v>
      </x:c>
      <x:c r="D71" s="16" t="n">
        <x:v>2795</x:v>
      </x:c>
      <x:c r="E71" s="16" t="n">
        <x:v>946</x:v>
      </x:c>
      <x:c r="F71" s="16" t="n">
        <x:v>6465</x:v>
      </x:c>
      <x:c r="G71" s="16" t="n">
        <x:v>548665.65</x:v>
      </x:c>
      <x:c r="H71" s="16" t="n">
        <x:v>492583.95</x:v>
      </x:c>
      <x:c r="I71" s="16" t="n">
        <x:v>56082.42</x:v>
      </x:c>
      <x:c r="J71" s="16" t="n">
        <x:v>54391.32</x:v>
      </x:c>
      <x:c r="K71" s="16" t="n">
        <x:v>1550</x:v>
      </x:c>
      <x:c r="L71" s="16" t="n">
        <x:v>579.98</x:v>
      </x:c>
      <x:c r="M71" s="16" t="n">
        <x:v>520.7</x:v>
      </x:c>
      <x:c r="N71" s="16" t="n">
        <x:v>0.110420406511418</x:v>
      </x:c>
      <x:c r="O71" s="16" t="n">
        <x:v>0.554561717352415</x:v>
      </x:c>
    </x:row>
    <x:row r="72">
      <x:c r="A72" s="16" t="str">
        <x:v>All</x:v>
      </x:c>
      <x:c r="B72" s="16" t="str">
        <x:v>Consumer</x:v>
      </x:c>
      <x:c r="C72" s="16" t="str">
        <x:v>2015-04</x:v>
      </x:c>
      <x:c r="D72" s="16" t="n">
        <x:v>2728</x:v>
      </x:c>
      <x:c r="E72" s="16" t="n">
        <x:v>907</x:v>
      </x:c>
      <x:c r="F72" s="16" t="n">
        <x:v>6023</x:v>
      </x:c>
      <x:c r="G72" s="16" t="n">
        <x:v>546105.86</x:v>
      </x:c>
      <x:c r="H72" s="16" t="n">
        <x:v>491956.84</x:v>
      </x:c>
      <x:c r="I72" s="16" t="n">
        <x:v>54149.76</x:v>
      </x:c>
      <x:c r="J72" s="16" t="n">
        <x:v>60452.13</x:v>
      </x:c>
      <x:c r="K72" s="16" t="n">
        <x:v>1484</x:v>
      </x:c>
      <x:c r="L72" s="16" t="n">
        <x:v>602.1</x:v>
      </x:c>
      <x:c r="M72" s="16" t="n">
        <x:v>542.4</x:v>
      </x:c>
      <x:c r="N72" s="16" t="n">
        <x:v>0.12288096248443256</x:v>
      </x:c>
      <x:c r="O72" s="16" t="n">
        <x:v>0.5439882697947214</x:v>
      </x:c>
    </x:row>
    <x:row r="73">
      <x:c r="A73" s="16" t="str">
        <x:v>All</x:v>
      </x:c>
      <x:c r="B73" s="16" t="str">
        <x:v>Consumer</x:v>
      </x:c>
      <x:c r="C73" s="16" t="str">
        <x:v>2015-05</x:v>
      </x:c>
      <x:c r="D73" s="16" t="n">
        <x:v>2723</x:v>
      </x:c>
      <x:c r="E73" s="16" t="n">
        <x:v>907</x:v>
      </x:c>
      <x:c r="F73" s="16" t="n">
        <x:v>6109</x:v>
      </x:c>
      <x:c r="G73" s="16" t="n">
        <x:v>529553.32</x:v>
      </x:c>
      <x:c r="H73" s="16" t="n">
        <x:v>476796.36</x:v>
      </x:c>
      <x:c r="I73" s="16" t="n">
        <x:v>52757.52</x:v>
      </x:c>
      <x:c r="J73" s="16" t="n">
        <x:v>55547.68</x:v>
      </x:c>
      <x:c r="K73" s="16" t="n">
        <x:v>1488</x:v>
      </x:c>
      <x:c r="L73" s="16" t="n">
        <x:v>583.85</x:v>
      </x:c>
      <x:c r="M73" s="16" t="n">
        <x:v>525.69</x:v>
      </x:c>
      <x:c r="N73" s="16" t="n">
        <x:v>0.11650189611346866</x:v>
      </x:c>
      <x:c r="O73" s="16" t="n">
        <x:v>0.5464561145795079</x:v>
      </x:c>
    </x:row>
    <x:row r="74">
      <x:c r="A74" s="16" t="str">
        <x:v>All</x:v>
      </x:c>
      <x:c r="B74" s="16" t="str">
        <x:v>Consumer</x:v>
      </x:c>
      <x:c r="C74" s="16" t="str">
        <x:v>2015-06</x:v>
      </x:c>
      <x:c r="D74" s="16" t="n">
        <x:v>2670</x:v>
      </x:c>
      <x:c r="E74" s="16" t="n">
        <x:v>890</x:v>
      </x:c>
      <x:c r="F74" s="16" t="n">
        <x:v>5907</x:v>
      </x:c>
      <x:c r="G74" s="16" t="n">
        <x:v>535247.83</x:v>
      </x:c>
      <x:c r="H74" s="16" t="n">
        <x:v>479756.89</x:v>
      </x:c>
      <x:c r="I74" s="16" t="n">
        <x:v>55491.63</x:v>
      </x:c>
      <x:c r="J74" s="16" t="n">
        <x:v>60763.22</x:v>
      </x:c>
      <x:c r="K74" s="16" t="n">
        <x:v>1527</x:v>
      </x:c>
      <x:c r="L74" s="16" t="n">
        <x:v>601.4</x:v>
      </x:c>
      <x:c r="M74" s="16" t="n">
        <x:v>539.05</x:v>
      </x:c>
      <x:c r="N74" s="16" t="n">
        <x:v>0.12665418937495612</x:v>
      </x:c>
      <x:c r="O74" s="16" t="n">
        <x:v>0.5719101123595506</x:v>
      </x:c>
    </x:row>
    <x:row r="75">
      <x:c r="A75" s="16" t="str">
        <x:v>All</x:v>
      </x:c>
      <x:c r="B75" s="16" t="str">
        <x:v>Consumer</x:v>
      </x:c>
      <x:c r="C75" s="16" t="str">
        <x:v>2015-07</x:v>
      </x:c>
      <x:c r="D75" s="16" t="n">
        <x:v>2688</x:v>
      </x:c>
      <x:c r="E75" s="16" t="n">
        <x:v>899</x:v>
      </x:c>
      <x:c r="F75" s="16" t="n">
        <x:v>5945</x:v>
      </x:c>
      <x:c r="G75" s="16" t="n">
        <x:v>527297.43</x:v>
      </x:c>
      <x:c r="H75" s="16" t="n">
        <x:v>474008.13</x:v>
      </x:c>
      <x:c r="I75" s="16" t="n">
        <x:v>53289.92</x:v>
      </x:c>
      <x:c r="J75" s="16" t="n">
        <x:v>61223.24</x:v>
      </x:c>
      <x:c r="K75" s="16" t="n">
        <x:v>1452</x:v>
      </x:c>
      <x:c r="L75" s="16" t="n">
        <x:v>586.54</x:v>
      </x:c>
      <x:c r="M75" s="16" t="n">
        <x:v>527.26</x:v>
      </x:c>
      <x:c r="N75" s="16" t="n">
        <x:v>0.12916073823459526</x:v>
      </x:c>
      <x:c r="O75" s="16" t="n">
        <x:v>0.5401785714285714</x:v>
      </x:c>
    </x:row>
    <x:row r="76">
      <x:c r="A76" s="16" t="str">
        <x:v>All</x:v>
      </x:c>
      <x:c r="B76" s="16" t="str">
        <x:v>Consumer</x:v>
      </x:c>
      <x:c r="C76" s="16" t="str">
        <x:v>2015-08</x:v>
      </x:c>
      <x:c r="D76" s="16" t="n">
        <x:v>2709</x:v>
      </x:c>
      <x:c r="E76" s="16" t="n">
        <x:v>893</x:v>
      </x:c>
      <x:c r="F76" s="16" t="n">
        <x:v>6081</x:v>
      </x:c>
      <x:c r="G76" s="16" t="n">
        <x:v>530694.29</x:v>
      </x:c>
      <x:c r="H76" s="16" t="n">
        <x:v>476855.15</x:v>
      </x:c>
      <x:c r="I76" s="16" t="n">
        <x:v>53839.72</x:v>
      </x:c>
      <x:c r="J76" s="16" t="n">
        <x:v>56663.4</x:v>
      </x:c>
      <x:c r="K76" s="16" t="n">
        <x:v>1483</x:v>
      </x:c>
      <x:c r="L76" s="16" t="n">
        <x:v>594.28</x:v>
      </x:c>
      <x:c r="M76" s="16" t="n">
        <x:v>533.99</x:v>
      </x:c>
      <x:c r="N76" s="16" t="n">
        <x:v>0.11882727910142105</x:v>
      </x:c>
      <x:c r="O76" s="16" t="n">
        <x:v>0.5474344776670358</x:v>
      </x:c>
    </x:row>
    <x:row r="77">
      <x:c r="A77" s="16" t="str">
        <x:v>All</x:v>
      </x:c>
      <x:c r="B77" s="16" t="str">
        <x:v>Consumer</x:v>
      </x:c>
      <x:c r="C77" s="16" t="str">
        <x:v>2015-09</x:v>
      </x:c>
      <x:c r="D77" s="16" t="n">
        <x:v>2709</x:v>
      </x:c>
      <x:c r="E77" s="16" t="n">
        <x:v>901</x:v>
      </x:c>
      <x:c r="F77" s="16" t="n">
        <x:v>5971</x:v>
      </x:c>
      <x:c r="G77" s="16" t="n">
        <x:v>535371.13</x:v>
      </x:c>
      <x:c r="H77" s="16" t="n">
        <x:v>481417.61</x:v>
      </x:c>
      <x:c r="I77" s="16" t="n">
        <x:v>53954.21</x:v>
      </x:c>
      <x:c r="J77" s="16" t="n">
        <x:v>68083.11</x:v>
      </x:c>
      <x:c r="K77" s="16" t="n">
        <x:v>1574</x:v>
      </x:c>
      <x:c r="L77" s="16" t="n">
        <x:v>594.2</x:v>
      </x:c>
      <x:c r="M77" s="16" t="n">
        <x:v>534.31</x:v>
      </x:c>
      <x:c r="N77" s="16" t="n">
        <x:v>0.1414221428252282</x:v>
      </x:c>
      <x:c r="O77" s="16" t="n">
        <x:v>0.5810262089331857</x:v>
      </x:c>
    </x:row>
    <x:row r="78">
      <x:c r="A78" s="16" t="str">
        <x:v>All</x:v>
      </x:c>
      <x:c r="B78" s="16" t="str">
        <x:v>Consumer</x:v>
      </x:c>
      <x:c r="C78" s="16" t="str">
        <x:v>2015-10</x:v>
      </x:c>
      <x:c r="D78" s="16" t="n">
        <x:v>2663</x:v>
      </x:c>
      <x:c r="E78" s="16" t="n">
        <x:v>893</x:v>
      </x:c>
      <x:c r="F78" s="16" t="n">
        <x:v>5887</x:v>
      </x:c>
      <x:c r="G78" s="16" t="n">
        <x:v>528978.1</x:v>
      </x:c>
      <x:c r="H78" s="16" t="n">
        <x:v>475330.74</x:v>
      </x:c>
      <x:c r="I78" s="16" t="n">
        <x:v>53648.01</x:v>
      </x:c>
      <x:c r="J78" s="16" t="n">
        <x:v>45932.04</x:v>
      </x:c>
      <x:c r="K78" s="16" t="n">
        <x:v>1495</x:v>
      </x:c>
      <x:c r="L78" s="16" t="n">
        <x:v>592.36</x:v>
      </x:c>
      <x:c r="M78" s="16" t="n">
        <x:v>532.29</x:v>
      </x:c>
      <x:c r="N78" s="16" t="n">
        <x:v>0.09663174740181962</x:v>
      </x:c>
      <x:c r="O78" s="16" t="n">
        <x:v>0.5613969207660533</x:v>
      </x:c>
    </x:row>
    <x:row r="79">
      <x:c r="A79" s="16" t="str">
        <x:v>All</x:v>
      </x:c>
      <x:c r="B79" s="16" t="str">
        <x:v>Consumer</x:v>
      </x:c>
      <x:c r="C79" s="16" t="str">
        <x:v>2015-11</x:v>
      </x:c>
      <x:c r="D79" s="16" t="n">
        <x:v>2693</x:v>
      </x:c>
      <x:c r="E79" s="16" t="n">
        <x:v>902</x:v>
      </x:c>
      <x:c r="F79" s="16" t="n">
        <x:v>5977</x:v>
      </x:c>
      <x:c r="G79" s="16" t="n">
        <x:v>533532.73</x:v>
      </x:c>
      <x:c r="H79" s="16" t="n">
        <x:v>478963.51</x:v>
      </x:c>
      <x:c r="I79" s="16" t="n">
        <x:v>54569.9</x:v>
      </x:c>
      <x:c r="J79" s="16" t="n">
        <x:v>57617.46</x:v>
      </x:c>
      <x:c r="K79" s="16" t="n">
        <x:v>1497</x:v>
      </x:c>
      <x:c r="L79" s="16" t="n">
        <x:v>591.5</x:v>
      </x:c>
      <x:c r="M79" s="16" t="n">
        <x:v>531</x:v>
      </x:c>
      <x:c r="N79" s="16" t="n">
        <x:v>0.12029613696458838</x:v>
      </x:c>
      <x:c r="O79" s="16" t="n">
        <x:v>0.5558856294095804</x:v>
      </x:c>
    </x:row>
    <x:row r="80">
      <x:c r="A80" s="16" t="str">
        <x:v>All</x:v>
      </x:c>
      <x:c r="B80" s="16" t="str">
        <x:v>Consumer</x:v>
      </x:c>
      <x:c r="C80" s="16" t="str">
        <x:v>2015-12</x:v>
      </x:c>
      <x:c r="D80" s="16" t="n">
        <x:v>2719</x:v>
      </x:c>
      <x:c r="E80" s="16" t="n">
        <x:v>919</x:v>
      </x:c>
      <x:c r="F80" s="16" t="n">
        <x:v>5898</x:v>
      </x:c>
      <x:c r="G80" s="16" t="n">
        <x:v>535432.57</x:v>
      </x:c>
      <x:c r="H80" s="16" t="n">
        <x:v>481853.93</x:v>
      </x:c>
      <x:c r="I80" s="16" t="n">
        <x:v>53579.28</x:v>
      </x:c>
      <x:c r="J80" s="16" t="n">
        <x:v>57324.49</x:v>
      </x:c>
      <x:c r="K80" s="16" t="n">
        <x:v>1496</x:v>
      </x:c>
      <x:c r="L80" s="16" t="n">
        <x:v>582.63</x:v>
      </x:c>
      <x:c r="M80" s="16" t="n">
        <x:v>524.32</x:v>
      </x:c>
      <x:c r="N80" s="16" t="n">
        <x:v>0.11896652996064595</x:v>
      </x:c>
      <x:c r="O80" s="16" t="n">
        <x:v>0.550202280250092</x:v>
      </x:c>
    </x:row>
    <x:row r="81">
      <x:c r="A81" s="16" t="str">
        <x:v>All</x:v>
      </x:c>
      <x:c r="B81" s="16" t="str">
        <x:v>Consumer</x:v>
      </x:c>
      <x:c r="C81" s="16" t="str">
        <x:v>2016-01</x:v>
      </x:c>
      <x:c r="D81" s="16" t="n">
        <x:v>2689</x:v>
      </x:c>
      <x:c r="E81" s="16" t="n">
        <x:v>904</x:v>
      </x:c>
      <x:c r="F81" s="16" t="n">
        <x:v>5961</x:v>
      </x:c>
      <x:c r="G81" s="16" t="n">
        <x:v>527335.15</x:v>
      </x:c>
      <x:c r="H81" s="16" t="n">
        <x:v>473189.59</x:v>
      </x:c>
      <x:c r="I81" s="16" t="n">
        <x:v>54146.27</x:v>
      </x:c>
      <x:c r="J81" s="16" t="n">
        <x:v>48443</x:v>
      </x:c>
      <x:c r="K81" s="16" t="n">
        <x:v>1455</x:v>
      </x:c>
      <x:c r="L81" s="16" t="n">
        <x:v>583.34</x:v>
      </x:c>
      <x:c r="M81" s="16" t="n">
        <x:v>523.44</x:v>
      </x:c>
      <x:c r="N81" s="16" t="n">
        <x:v>0.10237545589284835</x:v>
      </x:c>
      <x:c r="O81" s="16" t="n">
        <x:v>0.5410933432502789</x:v>
      </x:c>
    </x:row>
    <x:row r="82">
      <x:c r="A82" s="16" t="str">
        <x:v>All</x:v>
      </x:c>
      <x:c r="B82" s="16" t="str">
        <x:v>Consumer</x:v>
      </x:c>
      <x:c r="C82" s="16" t="str">
        <x:v>2016-02</x:v>
      </x:c>
      <x:c r="D82" s="16" t="n">
        <x:v>2553</x:v>
      </x:c>
      <x:c r="E82" s="16" t="n">
        <x:v>871</x:v>
      </x:c>
      <x:c r="F82" s="16" t="n">
        <x:v>5632</x:v>
      </x:c>
      <x:c r="G82" s="16" t="n">
        <x:v>504990.78</x:v>
      </x:c>
      <x:c r="H82" s="16" t="n">
        <x:v>453237.57</x:v>
      </x:c>
      <x:c r="I82" s="16" t="n">
        <x:v>51753.86</x:v>
      </x:c>
      <x:c r="J82" s="16" t="n">
        <x:v>44059.47</x:v>
      </x:c>
      <x:c r="K82" s="16" t="n">
        <x:v>1388</x:v>
      </x:c>
      <x:c r="L82" s="16" t="n">
        <x:v>579.78</x:v>
      </x:c>
      <x:c r="M82" s="16" t="n">
        <x:v>520.36</x:v>
      </x:c>
      <x:c r="N82" s="16" t="n">
        <x:v>0.09721054236523244</x:v>
      </x:c>
      <x:c r="O82" s="16" t="n">
        <x:v>0.5436741088915001</x:v>
      </x:c>
    </x:row>
    <x:row r="83">
      <x:c r="A83" s="16" t="str">
        <x:v>All</x:v>
      </x:c>
      <x:c r="B83" s="16" t="str">
        <x:v>Consumer</x:v>
      </x:c>
      <x:c r="C83" s="16" t="str">
        <x:v>2016-03</x:v>
      </x:c>
      <x:c r="D83" s="16" t="n">
        <x:v>2708</x:v>
      </x:c>
      <x:c r="E83" s="16" t="n">
        <x:v>915</x:v>
      </x:c>
      <x:c r="F83" s="16" t="n">
        <x:v>5957</x:v>
      </x:c>
      <x:c r="G83" s="16" t="n">
        <x:v>539812.56</x:v>
      </x:c>
      <x:c r="H83" s="16" t="n">
        <x:v>485296.02</x:v>
      </x:c>
      <x:c r="I83" s="16" t="n">
        <x:v>54517.27</x:v>
      </x:c>
      <x:c r="J83" s="16" t="n">
        <x:v>53350.72</x:v>
      </x:c>
      <x:c r="K83" s="16" t="n">
        <x:v>1490</x:v>
      </x:c>
      <x:c r="L83" s="16" t="n">
        <x:v>589.96</x:v>
      </x:c>
      <x:c r="M83" s="16" t="n">
        <x:v>530.38</x:v>
      </x:c>
      <x:c r="N83" s="16" t="n">
        <x:v>0.10993438602690374</x:v>
      </x:c>
      <x:c r="O83" s="16" t="n">
        <x:v>0.5502215657311669</x:v>
      </x:c>
    </x:row>
    <x:row r="84">
      <x:c r="A84" s="16" t="str">
        <x:v>All</x:v>
      </x:c>
      <x:c r="B84" s="16" t="str">
        <x:v>Consumer</x:v>
      </x:c>
      <x:c r="C84" s="16" t="str">
        <x:v>2016-04</x:v>
      </x:c>
      <x:c r="D84" s="16" t="n">
        <x:v>2609</x:v>
      </x:c>
      <x:c r="E84" s="16" t="n">
        <x:v>887</x:v>
      </x:c>
      <x:c r="F84" s="16" t="n">
        <x:v>5710</x:v>
      </x:c>
      <x:c r="G84" s="16" t="n">
        <x:v>514511.21</x:v>
      </x:c>
      <x:c r="H84" s="16" t="n">
        <x:v>463223</x:v>
      </x:c>
      <x:c r="I84" s="16" t="n">
        <x:v>51288.83</x:v>
      </x:c>
      <x:c r="J84" s="16" t="n">
        <x:v>57215.19</x:v>
      </x:c>
      <x:c r="K84" s="16" t="n">
        <x:v>1410</x:v>
      </x:c>
      <x:c r="L84" s="16" t="n">
        <x:v>580.06</x:v>
      </x:c>
      <x:c r="M84" s="16" t="n">
        <x:v>522.24</x:v>
      </x:c>
      <x:c r="N84" s="16" t="n">
        <x:v>0.12351543425088997</x:v>
      </x:c>
      <x:c r="O84" s="16" t="n">
        <x:v>0.5404369490226141</x:v>
      </x:c>
    </x:row>
    <x:row r="85">
      <x:c r="A85" s="16" t="str">
        <x:v>All</x:v>
      </x:c>
      <x:c r="B85" s="16" t="str">
        <x:v>Consumer</x:v>
      </x:c>
      <x:c r="C85" s="16" t="str">
        <x:v>2016-05</x:v>
      </x:c>
      <x:c r="D85" s="16" t="n">
        <x:v>2805</x:v>
      </x:c>
      <x:c r="E85" s="16" t="n">
        <x:v>942</x:v>
      </x:c>
      <x:c r="F85" s="16" t="n">
        <x:v>6088</x:v>
      </x:c>
      <x:c r="G85" s="16" t="n">
        <x:v>539841.15</x:v>
      </x:c>
      <x:c r="H85" s="16" t="n">
        <x:v>484857.27</x:v>
      </x:c>
      <x:c r="I85" s="16" t="n">
        <x:v>54984.51</x:v>
      </x:c>
      <x:c r="J85" s="16" t="n">
        <x:v>63626.83</x:v>
      </x:c>
      <x:c r="K85" s="16" t="n">
        <x:v>1558</x:v>
      </x:c>
      <x:c r="L85" s="16" t="n">
        <x:v>573.08</x:v>
      </x:c>
      <x:c r="M85" s="16" t="n">
        <x:v>514.71</x:v>
      </x:c>
      <x:c r="N85" s="16" t="n">
        <x:v>0.13122795910639848</x:v>
      </x:c>
      <x:c r="O85" s="16" t="n">
        <x:v>0.5554367201426025</x:v>
      </x:c>
    </x:row>
    <x:row r="86">
      <x:c r="A86" s="16" t="str">
        <x:v>All</x:v>
      </x:c>
      <x:c r="B86" s="16" t="str">
        <x:v>Consumer</x:v>
      </x:c>
      <x:c r="C86" s="16" t="str">
        <x:v>2016-06</x:v>
      </x:c>
      <x:c r="D86" s="16" t="n">
        <x:v>2645</x:v>
      </x:c>
      <x:c r="E86" s="16" t="n">
        <x:v>887</x:v>
      </x:c>
      <x:c r="F86" s="16" t="n">
        <x:v>5645</x:v>
      </x:c>
      <x:c r="G86" s="16" t="n">
        <x:v>521058.74</x:v>
      </x:c>
      <x:c r="H86" s="16" t="n">
        <x:v>467881.96</x:v>
      </x:c>
      <x:c r="I86" s="16" t="n">
        <x:v>53177.42</x:v>
      </x:c>
      <x:c r="J86" s="16" t="n">
        <x:v>57407.72</x:v>
      </x:c>
      <x:c r="K86" s="16" t="n">
        <x:v>1501</x:v>
      </x:c>
      <x:c r="L86" s="16" t="n">
        <x:v>587.44</x:v>
      </x:c>
      <x:c r="M86" s="16" t="n">
        <x:v>527.49</x:v>
      </x:c>
      <x:c r="N86" s="16" t="n">
        <x:v>0.12269701528992483</x:v>
      </x:c>
      <x:c r="O86" s="16" t="n">
        <x:v>0.5674858223062382</x:v>
      </x:c>
    </x:row>
    <x:row r="87">
      <x:c r="A87" s="16" t="str">
        <x:v>All</x:v>
      </x:c>
      <x:c r="B87" s="16" t="str">
        <x:v>Consumer</x:v>
      </x:c>
      <x:c r="C87" s="16" t="str">
        <x:v>2016-07</x:v>
      </x:c>
      <x:c r="D87" s="16" t="n">
        <x:v>2778</x:v>
      </x:c>
      <x:c r="E87" s="16" t="n">
        <x:v>917</x:v>
      </x:c>
      <x:c r="F87" s="16" t="n">
        <x:v>6098</x:v>
      </x:c>
      <x:c r="G87" s="16" t="n">
        <x:v>554767.88</x:v>
      </x:c>
      <x:c r="H87" s="16" t="n">
        <x:v>498315.89</x:v>
      </x:c>
      <x:c r="I87" s="16" t="n">
        <x:v>56452.74</x:v>
      </x:c>
      <x:c r="J87" s="16" t="n">
        <x:v>59785.22</x:v>
      </x:c>
      <x:c r="K87" s="16" t="n">
        <x:v>1393</x:v>
      </x:c>
      <x:c r="L87" s="16" t="n">
        <x:v>604.98</x:v>
      </x:c>
      <x:c r="M87" s="16" t="n">
        <x:v>543.42</x:v>
      </x:c>
      <x:c r="N87" s="16" t="n">
        <x:v>0.11997454064729904</x:v>
      </x:c>
      <x:c r="O87" s="16" t="n">
        <x:v>0.5014398848092153</x:v>
      </x:c>
    </x:row>
    <x:row r="88">
      <x:c r="A88" s="16" t="str">
        <x:v>All</x:v>
      </x:c>
      <x:c r="B88" s="16" t="str">
        <x:v>Consumer</x:v>
      </x:c>
      <x:c r="C88" s="16" t="str">
        <x:v>2016-08</x:v>
      </x:c>
      <x:c r="D88" s="16" t="n">
        <x:v>2833</x:v>
      </x:c>
      <x:c r="E88" s="16" t="n">
        <x:v>946</x:v>
      </x:c>
      <x:c r="F88" s="16" t="n">
        <x:v>6209</x:v>
      </x:c>
      <x:c r="G88" s="16" t="n">
        <x:v>562308.34</x:v>
      </x:c>
      <x:c r="H88" s="16" t="n">
        <x:v>505628</x:v>
      </x:c>
      <x:c r="I88" s="16" t="n">
        <x:v>56681.03</x:v>
      </x:c>
      <x:c r="J88" s="16" t="n">
        <x:v>63043.94</x:v>
      </x:c>
      <x:c r="K88" s="16" t="n">
        <x:v>1563</x:v>
      </x:c>
      <x:c r="L88" s="16" t="n">
        <x:v>594.41</x:v>
      </x:c>
      <x:c r="M88" s="16" t="n">
        <x:v>534.49</x:v>
      </x:c>
      <x:c r="N88" s="16" t="n">
        <x:v>0.12468443203303615</x:v>
      </x:c>
      <x:c r="O88" s="16" t="n">
        <x:v>0.5517119661136605</x:v>
      </x:c>
    </x:row>
    <x:row r="89">
      <x:c r="A89" s="16" t="str">
        <x:v>All</x:v>
      </x:c>
      <x:c r="B89" s="16" t="str">
        <x:v>Consumer</x:v>
      </x:c>
      <x:c r="C89" s="16" t="str">
        <x:v>2016-09</x:v>
      </x:c>
      <x:c r="D89" s="16" t="n">
        <x:v>2721</x:v>
      </x:c>
      <x:c r="E89" s="16" t="n">
        <x:v>902</x:v>
      </x:c>
      <x:c r="F89" s="16" t="n">
        <x:v>5984</x:v>
      </x:c>
      <x:c r="G89" s="16" t="n">
        <x:v>534414.28</x:v>
      </x:c>
      <x:c r="H89" s="16" t="n">
        <x:v>479571.71</x:v>
      </x:c>
      <x:c r="I89" s="16" t="n">
        <x:v>54843.18</x:v>
      </x:c>
      <x:c r="J89" s="16" t="n">
        <x:v>67305.98</x:v>
      </x:c>
      <x:c r="K89" s="16" t="n">
        <x:v>1505</x:v>
      </x:c>
      <x:c r="L89" s="16" t="n">
        <x:v>592.48</x:v>
      </x:c>
      <x:c r="M89" s="16" t="n">
        <x:v>531.68</x:v>
      </x:c>
      <x:c r="N89" s="16" t="n">
        <x:v>0.14034601832539287</x:v>
      </x:c>
      <x:c r="O89" s="16" t="n">
        <x:v>0.5531054759279677</x:v>
      </x:c>
    </x:row>
    <x:row r="90">
      <x:c r="A90" s="16" t="str">
        <x:v>All</x:v>
      </x:c>
      <x:c r="B90" s="16" t="str">
        <x:v>Consumer</x:v>
      </x:c>
      <x:c r="C90" s="16" t="str">
        <x:v>2016-10</x:v>
      </x:c>
      <x:c r="D90" s="16" t="n">
        <x:v>2901</x:v>
      </x:c>
      <x:c r="E90" s="16" t="n">
        <x:v>950</x:v>
      </x:c>
      <x:c r="F90" s="16" t="n">
        <x:v>6341</x:v>
      </x:c>
      <x:c r="G90" s="16" t="n">
        <x:v>564420.28</x:v>
      </x:c>
      <x:c r="H90" s="16" t="n">
        <x:v>507832.72</x:v>
      </x:c>
      <x:c r="I90" s="16" t="n">
        <x:v>56588.18</x:v>
      </x:c>
      <x:c r="J90" s="16" t="n">
        <x:v>63778.27</x:v>
      </x:c>
      <x:c r="K90" s="16" t="n">
        <x:v>1534</x:v>
      </x:c>
      <x:c r="L90" s="16" t="n">
        <x:v>594.13</x:v>
      </x:c>
      <x:c r="M90" s="16" t="n">
        <x:v>534.56</x:v>
      </x:c>
      <x:c r="N90" s="16" t="n">
        <x:v>0.12558913100361077</x:v>
      </x:c>
      <x:c r="O90" s="16" t="n">
        <x:v>0.5287831782144088</x:v>
      </x:c>
    </x:row>
    <x:row r="91">
      <x:c r="A91" s="16" t="str">
        <x:v>All</x:v>
      </x:c>
      <x:c r="B91" s="16" t="str">
        <x:v>Consumer</x:v>
      </x:c>
      <x:c r="C91" s="16" t="str">
        <x:v>2016-11</x:v>
      </x:c>
      <x:c r="D91" s="16" t="n">
        <x:v>2721</x:v>
      </x:c>
      <x:c r="E91" s="16" t="n">
        <x:v>903</x:v>
      </x:c>
      <x:c r="F91" s="16" t="n">
        <x:v>5974</x:v>
      </x:c>
      <x:c r="G91" s="16" t="n">
        <x:v>548519.94</x:v>
      </x:c>
      <x:c r="H91" s="16" t="n">
        <x:v>493262.23</x:v>
      </x:c>
      <x:c r="I91" s="16" t="n">
        <x:v>55258.28</x:v>
      </x:c>
      <x:c r="J91" s="16" t="n">
        <x:v>61985.58</x:v>
      </x:c>
      <x:c r="K91" s="16" t="n">
        <x:v>1463</x:v>
      </x:c>
      <x:c r="L91" s="16" t="n">
        <x:v>607.44</x:v>
      </x:c>
      <x:c r="M91" s="16" t="n">
        <x:v>546.25</x:v>
      </x:c>
      <x:c r="N91" s="16" t="n">
        <x:v>0.12566455777487767</x:v>
      </x:c>
      <x:c r="O91" s="16" t="n">
        <x:v>0.537669974274164</x:v>
      </x:c>
    </x:row>
    <x:row r="92">
      <x:c r="A92" s="16" t="str">
        <x:v>All</x:v>
      </x:c>
      <x:c r="B92" s="16" t="str">
        <x:v>Consumer</x:v>
      </x:c>
      <x:c r="C92" s="16" t="str">
        <x:v>2016-12</x:v>
      </x:c>
      <x:c r="D92" s="16" t="n">
        <x:v>2749</x:v>
      </x:c>
      <x:c r="E92" s="16" t="n">
        <x:v>926</x:v>
      </x:c>
      <x:c r="F92" s="16" t="n">
        <x:v>6167</x:v>
      </x:c>
      <x:c r="G92" s="16" t="n">
        <x:v>541428.78</x:v>
      </x:c>
      <x:c r="H92" s="16" t="n">
        <x:v>486951.12</x:v>
      </x:c>
      <x:c r="I92" s="16" t="n">
        <x:v>54478.36</x:v>
      </x:c>
      <x:c r="J92" s="16" t="n">
        <x:v>52273.5</x:v>
      </x:c>
      <x:c r="K92" s="16" t="n">
        <x:v>1532</x:v>
      </x:c>
      <x:c r="L92" s="16" t="n">
        <x:v>584.7</x:v>
      </x:c>
      <x:c r="M92" s="16" t="n">
        <x:v>525.87</x:v>
      </x:c>
      <x:c r="N92" s="16" t="n">
        <x:v>0.10734855687363447</x:v>
      </x:c>
      <x:c r="O92" s="16" t="n">
        <x:v>0.5572935612950164</x:v>
      </x:c>
    </x:row>
    <x:row r="93">
      <x:c r="A93" s="16" t="str">
        <x:v>All</x:v>
      </x:c>
      <x:c r="B93" s="16" t="str">
        <x:v>Consumer</x:v>
      </x:c>
      <x:c r="C93" s="16" t="str">
        <x:v>2017-01</x:v>
      </x:c>
      <x:c r="D93" s="16" t="n">
        <x:v>2782</x:v>
      </x:c>
      <x:c r="E93" s="16" t="n">
        <x:v>926</x:v>
      </x:c>
      <x:c r="F93" s="16" t="n">
        <x:v>6233</x:v>
      </x:c>
      <x:c r="G93" s="16" t="n">
        <x:v>552258.89</x:v>
      </x:c>
      <x:c r="H93" s="16" t="n">
        <x:v>496494.92</x:v>
      </x:c>
      <x:c r="I93" s="16" t="n">
        <x:v>55764.64</x:v>
      </x:c>
      <x:c r="J93" s="16" t="n">
        <x:v>52468.68</x:v>
      </x:c>
      <x:c r="K93" s="16" t="n">
        <x:v>1490</x:v>
      </x:c>
      <x:c r="L93" s="16" t="n">
        <x:v>596.39</x:v>
      </x:c>
      <x:c r="M93" s="16" t="n">
        <x:v>536.17</x:v>
      </x:c>
      <x:c r="N93" s="16" t="n">
        <x:v>0.10567818095701766</x:v>
      </x:c>
      <x:c r="O93" s="16" t="n">
        <x:v>0.5355859094176851</x:v>
      </x:c>
    </x:row>
    <x:row r="94">
      <x:c r="A94" s="16" t="str">
        <x:v>All</x:v>
      </x:c>
      <x:c r="B94" s="16" t="str">
        <x:v>Consumer</x:v>
      </x:c>
      <x:c r="C94" s="16" t="str">
        <x:v>2017-02</x:v>
      </x:c>
      <x:c r="D94" s="16" t="n">
        <x:v>2455</x:v>
      </x:c>
      <x:c r="E94" s="16" t="n">
        <x:v>825</x:v>
      </x:c>
      <x:c r="F94" s="16" t="n">
        <x:v>5522</x:v>
      </x:c>
      <x:c r="G94" s="16" t="n">
        <x:v>491386.43</x:v>
      </x:c>
      <x:c r="H94" s="16" t="n">
        <x:v>442311.89</x:v>
      </x:c>
      <x:c r="I94" s="16" t="n">
        <x:v>49075.18</x:v>
      </x:c>
      <x:c r="J94" s="16" t="n">
        <x:v>55119.85</x:v>
      </x:c>
      <x:c r="K94" s="16" t="n">
        <x:v>1311</x:v>
      </x:c>
      <x:c r="L94" s="16" t="n">
        <x:v>595.62</x:v>
      </x:c>
      <x:c r="M94" s="16" t="n">
        <x:v>536.14</x:v>
      </x:c>
      <x:c r="N94" s="16" t="n">
        <x:v>0.12461760862906036</x:v>
      </x:c>
      <x:c r="O94" s="16" t="n">
        <x:v>0.5340122199592668</x:v>
      </x:c>
    </x:row>
    <x:row r="95">
      <x:c r="A95" s="16" t="str">
        <x:v>All</x:v>
      </x:c>
      <x:c r="B95" s="16" t="str">
        <x:v>Consumer</x:v>
      </x:c>
      <x:c r="C95" s="16" t="str">
        <x:v>2017-03</x:v>
      </x:c>
      <x:c r="D95" s="16" t="n">
        <x:v>2604</x:v>
      </x:c>
      <x:c r="E95" s="16" t="n">
        <x:v>871</x:v>
      </x:c>
      <x:c r="F95" s="16" t="n">
        <x:v>5678</x:v>
      </x:c>
      <x:c r="G95" s="16" t="n">
        <x:v>508047.42</x:v>
      </x:c>
      <x:c r="H95" s="16" t="n">
        <x:v>455757.88</x:v>
      </x:c>
      <x:c r="I95" s="16" t="n">
        <x:v>52290.25</x:v>
      </x:c>
      <x:c r="J95" s="16" t="n">
        <x:v>54047.58</x:v>
      </x:c>
      <x:c r="K95" s="16" t="n">
        <x:v>1475</x:v>
      </x:c>
      <x:c r="L95" s="16" t="n">
        <x:v>583.29</x:v>
      </x:c>
      <x:c r="M95" s="16" t="n">
        <x:v>523.26</x:v>
      </x:c>
      <x:c r="N95" s="16" t="n">
        <x:v>0.11858836099553562</x:v>
      </x:c>
      <x:c r="O95" s="16" t="n">
        <x:v>0.5664362519201229</x:v>
      </x:c>
    </x:row>
    <x:row r="96">
      <x:c r="A96" s="16" t="str">
        <x:v>All</x:v>
      </x:c>
      <x:c r="B96" s="16" t="str">
        <x:v>Consumer</x:v>
      </x:c>
      <x:c r="C96" s="16" t="str">
        <x:v>2017-04</x:v>
      </x:c>
      <x:c r="D96" s="16" t="n">
        <x:v>2795</x:v>
      </x:c>
      <x:c r="E96" s="16" t="n">
        <x:v>923</x:v>
      </x:c>
      <x:c r="F96" s="16" t="n">
        <x:v>5979</x:v>
      </x:c>
      <x:c r="G96" s="16" t="n">
        <x:v>553031.44</x:v>
      </x:c>
      <x:c r="H96" s="16" t="n">
        <x:v>496275.86</x:v>
      </x:c>
      <x:c r="I96" s="16" t="n">
        <x:v>56756.3</x:v>
      </x:c>
      <x:c r="J96" s="16" t="n">
        <x:v>64501.54</x:v>
      </x:c>
      <x:c r="K96" s="16" t="n">
        <x:v>1470</x:v>
      </x:c>
      <x:c r="L96" s="16" t="n">
        <x:v>599.17</x:v>
      </x:c>
      <x:c r="M96" s="16" t="n">
        <x:v>537.68</x:v>
      </x:c>
      <x:c r="N96" s="16" t="n">
        <x:v>0.12997114145346503</x:v>
      </x:c>
      <x:c r="O96" s="16" t="n">
        <x:v>0.5259391771019678</x:v>
      </x:c>
    </x:row>
    <x:row r="97">
      <x:c r="A97" s="16" t="str">
        <x:v>All</x:v>
      </x:c>
      <x:c r="B97" s="16" t="str">
        <x:v>Consumer</x:v>
      </x:c>
      <x:c r="C97" s="16" t="str">
        <x:v>2017-05</x:v>
      </x:c>
      <x:c r="D97" s="16" t="n">
        <x:v>2687</x:v>
      </x:c>
      <x:c r="E97" s="16" t="n">
        <x:v>895</x:v>
      </x:c>
      <x:c r="F97" s="16" t="n">
        <x:v>5635</x:v>
      </x:c>
      <x:c r="G97" s="16" t="n">
        <x:v>555613.62</x:v>
      </x:c>
      <x:c r="H97" s="16" t="n">
        <x:v>498873.03</x:v>
      </x:c>
      <x:c r="I97" s="16" t="n">
        <x:v>56741.21</x:v>
      </x:c>
      <x:c r="J97" s="16" t="n">
        <x:v>54896.79</x:v>
      </x:c>
      <x:c r="K97" s="16" t="n">
        <x:v>1459</x:v>
      </x:c>
      <x:c r="L97" s="16" t="n">
        <x:v>620.8</x:v>
      </x:c>
      <x:c r="M97" s="16" t="n">
        <x:v>557.4</x:v>
      </x:c>
      <x:c r="N97" s="16" t="n">
        <x:v>0.11004160718008749</x:v>
      </x:c>
      <x:c r="O97" s="16" t="n">
        <x:v>0.5429847413472274</x:v>
      </x:c>
    </x:row>
    <x:row r="98">
      <x:c r="A98" s="16" t="str">
        <x:v>All</x:v>
      </x:c>
      <x:c r="B98" s="16" t="str">
        <x:v>Consumer</x:v>
      </x:c>
      <x:c r="C98" s="16" t="str">
        <x:v>2017-06</x:v>
      </x:c>
      <x:c r="D98" s="16" t="n">
        <x:v>2466</x:v>
      </x:c>
      <x:c r="E98" s="16" t="n">
        <x:v>841</x:v>
      </x:c>
      <x:c r="F98" s="16" t="n">
        <x:v>4958</x:v>
      </x:c>
      <x:c r="G98" s="16" t="n">
        <x:v>507861.77</x:v>
      </x:c>
      <x:c r="H98" s="16" t="n">
        <x:v>457114.35</x:v>
      </x:c>
      <x:c r="I98" s="16" t="n">
        <x:v>50747.93</x:v>
      </x:c>
      <x:c r="J98" s="16" t="n">
        <x:v>56706.22</x:v>
      </x:c>
      <x:c r="K98" s="16" t="n">
        <x:v>1308</x:v>
      </x:c>
      <x:c r="L98" s="16" t="n">
        <x:v>603.88</x:v>
      </x:c>
      <x:c r="M98" s="16" t="n">
        <x:v>543.54</x:v>
      </x:c>
      <x:c r="N98" s="16" t="n">
        <x:v>0.12405259209210999</x:v>
      </x:c>
      <x:c r="O98" s="16" t="n">
        <x:v>0.5304136253041363</x:v>
      </x:c>
    </x:row>
    <x:row r="99">
      <x:c r="A99" s="16" t="str">
        <x:v>All</x:v>
      </x:c>
      <x:c r="B99" s="16" t="str">
        <x:v>Consumer</x:v>
      </x:c>
      <x:c r="C99" s="16" t="str">
        <x:v>2017-07</x:v>
      </x:c>
      <x:c r="D99" s="16" t="n">
        <x:v>2817</x:v>
      </x:c>
      <x:c r="E99" s="16" t="n">
        <x:v>938</x:v>
      </x:c>
      <x:c r="F99" s="16" t="n">
        <x:v>5923</x:v>
      </x:c>
      <x:c r="G99" s="16" t="n">
        <x:v>589456.71</x:v>
      </x:c>
      <x:c r="H99" s="16" t="n">
        <x:v>528720.74</x:v>
      </x:c>
      <x:c r="I99" s="16" t="n">
        <x:v>60736.59</x:v>
      </x:c>
      <x:c r="J99" s="16" t="n">
        <x:v>61960.73</x:v>
      </x:c>
      <x:c r="K99" s="16" t="n">
        <x:v>1582</x:v>
      </x:c>
      <x:c r="L99" s="16" t="n">
        <x:v>628.42</x:v>
      </x:c>
      <x:c r="M99" s="16" t="n">
        <x:v>563.67</x:v>
      </x:c>
      <x:c r="N99" s="16" t="n">
        <x:v>0.11718989877340541</x:v>
      </x:c>
      <x:c r="O99" s="16" t="n">
        <x:v>0.5615903443379482</x:v>
      </x:c>
    </x:row>
    <x:row r="100">
      <x:c r="A100" s="16" t="str">
        <x:v>All</x:v>
      </x:c>
      <x:c r="B100" s="16" t="str">
        <x:v>Consumer</x:v>
      </x:c>
      <x:c r="C100" s="16" t="str">
        <x:v>2017-08</x:v>
      </x:c>
      <x:c r="D100" s="16" t="n">
        <x:v>2849</x:v>
      </x:c>
      <x:c r="E100" s="16" t="n">
        <x:v>939</x:v>
      </x:c>
      <x:c r="F100" s="16" t="n">
        <x:v>5884</x:v>
      </x:c>
      <x:c r="G100" s="16" t="n">
        <x:v>592000.24</x:v>
      </x:c>
      <x:c r="H100" s="16" t="n">
        <x:v>532142.34</x:v>
      </x:c>
      <x:c r="I100" s="16" t="n">
        <x:v>59858.59</x:v>
      </x:c>
      <x:c r="J100" s="16" t="n">
        <x:v>71638.58</x:v>
      </x:c>
      <x:c r="K100" s="16" t="n">
        <x:v>1619</x:v>
      </x:c>
      <x:c r="L100" s="16" t="n">
        <x:v>630.46</x:v>
      </x:c>
      <x:c r="M100" s="16" t="n">
        <x:v>566.71</x:v>
      </x:c>
      <x:c r="N100" s="16" t="n">
        <x:v>0.13462296572755328</x:v>
      </x:c>
      <x:c r="O100" s="16" t="n">
        <x:v>0.5682695682695683</x:v>
      </x:c>
    </x:row>
    <x:row r="101">
      <x:c r="A101" s="16" t="str">
        <x:v>All</x:v>
      </x:c>
      <x:c r="B101" s="16" t="str">
        <x:v>Consumer</x:v>
      </x:c>
      <x:c r="C101" s="16" t="str">
        <x:v>2017-09</x:v>
      </x:c>
      <x:c r="D101" s="16" t="n">
        <x:v>2651</x:v>
      </x:c>
      <x:c r="E101" s="16" t="n">
        <x:v>881</x:v>
      </x:c>
      <x:c r="F101" s="16" t="n">
        <x:v>5478</x:v>
      </x:c>
      <x:c r="G101" s="16" t="n">
        <x:v>588507.7</x:v>
      </x:c>
      <x:c r="H101" s="16" t="n">
        <x:v>529596.54</x:v>
      </x:c>
      <x:c r="I101" s="16" t="n">
        <x:v>58911.7</x:v>
      </x:c>
      <x:c r="J101" s="16" t="n">
        <x:v>61074.84</x:v>
      </x:c>
      <x:c r="K101" s="16" t="n">
        <x:v>1412</x:v>
      </x:c>
      <x:c r="L101" s="16" t="n">
        <x:v>668</x:v>
      </x:c>
      <x:c r="M101" s="16" t="n">
        <x:v>601.13</x:v>
      </x:c>
      <x:c r="N101" s="16" t="n">
        <x:v>0.11532333651575592</x:v>
      </x:c>
      <x:c r="O101" s="16" t="n">
        <x:v>0.5326291965296115</x:v>
      </x:c>
    </x:row>
    <x:row r="102">
      <x:c r="A102" s="16" t="str">
        <x:v>All</x:v>
      </x:c>
      <x:c r="B102" s="16" t="str">
        <x:v>Consumer</x:v>
      </x:c>
      <x:c r="C102" s="16" t="str">
        <x:v>2017-10</x:v>
      </x:c>
      <x:c r="D102" s="16" t="n">
        <x:v>1153</x:v>
      </x:c>
      <x:c r="E102" s="16" t="n">
        <x:v>1075</x:v>
      </x:c>
      <x:c r="F102" s="16" t="n">
        <x:v>1269</x:v>
      </x:c>
      <x:c r="G102" s="16" t="n">
        <x:v>562802.93</x:v>
      </x:c>
      <x:c r="H102" s="16" t="n">
        <x:v>507711.61</x:v>
      </x:c>
      <x:c r="I102" s="16" t="n">
        <x:v>55091.84</x:v>
      </x:c>
      <x:c r="J102" s="16" t="n">
        <x:v>67161.68</x:v>
      </x:c>
      <x:c r="K102" s="16" t="n">
        <x:v>640</x:v>
      </x:c>
      <x:c r="L102" s="16" t="n">
        <x:v>523.54</x:v>
      </x:c>
      <x:c r="M102" s="16" t="n">
        <x:v>472.29</x:v>
      </x:c>
      <x:c r="N102" s="16" t="n">
        <x:v>0.13228312821130878</x:v>
      </x:c>
      <x:c r="O102" s="16" t="n">
        <x:v>0.5550737207285342</x:v>
      </x:c>
    </x:row>
    <x:row r="103">
      <x:c r="A103" s="16" t="str">
        <x:v>All</x:v>
      </x:c>
      <x:c r="B103" s="16" t="str">
        <x:v>Consumer</x:v>
      </x:c>
      <x:c r="C103" s="16" t="str">
        <x:v>2017-11</x:v>
      </x:c>
      <x:c r="D103" s="16" t="n">
        <x:v>1043</x:v>
      </x:c>
      <x:c r="E103" s="16" t="n">
        <x:v>1043</x:v>
      </x:c>
      <x:c r="F103" s="16" t="n">
        <x:v>1043</x:v>
      </x:c>
      <x:c r="G103" s="16" t="n">
        <x:v>324809.29</x:v>
      </x:c>
      <x:c r="H103" s="16" t="n">
        <x:v>292502.34</x:v>
      </x:c>
      <x:c r="I103" s="16" t="n">
        <x:v>32307.26</x:v>
      </x:c>
      <x:c r="J103" s="16" t="n">
        <x:v>35466.75</x:v>
      </x:c>
      <x:c r="K103" s="16" t="n">
        <x:v>575</x:v>
      </x:c>
      <x:c r="L103" s="16" t="n">
        <x:v>311.42</x:v>
      </x:c>
      <x:c r="M103" s="16" t="n">
        <x:v>280.44</x:v>
      </x:c>
      <x:c r="N103" s="16" t="n">
        <x:v>0.1212528761308371</x:v>
      </x:c>
      <x:c r="O103" s="16" t="n">
        <x:v>0.551294343240652</x:v>
      </x:c>
    </x:row>
    <x:row r="104">
      <x:c r="A104" s="16" t="str">
        <x:v>All</x:v>
      </x:c>
      <x:c r="B104" s="16" t="str">
        <x:v>Consumer</x:v>
      </x:c>
      <x:c r="C104" s="16" t="str">
        <x:v>2017-12</x:v>
      </x:c>
      <x:c r="D104" s="16" t="n">
        <x:v>1143</x:v>
      </x:c>
      <x:c r="E104" s="16" t="n">
        <x:v>1143</x:v>
      </x:c>
      <x:c r="F104" s="16" t="n">
        <x:v>1143</x:v>
      </x:c>
      <x:c r="G104" s="16" t="n">
        <x:v>278849.77</x:v>
      </x:c>
      <x:c r="H104" s="16" t="n">
        <x:v>251145.38</x:v>
      </x:c>
      <x:c r="I104" s="16" t="n">
        <x:v>27705.01</x:v>
      </x:c>
      <x:c r="J104" s="16" t="n">
        <x:v>43002.48</x:v>
      </x:c>
      <x:c r="K104" s="16" t="n">
        <x:v>610</x:v>
      </x:c>
      <x:c r="L104" s="16" t="n">
        <x:v>243.96</x:v>
      </x:c>
      <x:c r="M104" s="16" t="n">
        <x:v>219.72</x:v>
      </x:c>
      <x:c r="N104" s="16" t="n">
        <x:v>0.17122544718919377</x:v>
      </x:c>
      <x:c r="O104" s="16" t="n">
        <x:v>0.5336832895888014</x:v>
      </x:c>
    </x:row>
    <x:row r="105">
      <x:c r="A105" s="16" t="str">
        <x:v>All</x:v>
      </x:c>
      <x:c r="B105" s="16" t="str">
        <x:v>Consumer</x:v>
      </x:c>
      <x:c r="C105" s="16" t="str">
        <x:v>2018-01</x:v>
      </x:c>
      <x:c r="D105" s="16" t="n">
        <x:v>1069</x:v>
      </x:c>
      <x:c r="E105" s="16" t="n">
        <x:v>1069</x:v>
      </x:c>
      <x:c r="F105" s="16" t="n">
        <x:v>1069</x:v>
      </x:c>
      <x:c r="G105" s="16" t="n">
        <x:v>162830.24</x:v>
      </x:c>
      <x:c r="H105" s="16" t="n">
        <x:v>146373.36</x:v>
      </x:c>
      <x:c r="I105" s="16" t="n">
        <x:v>16457.91</x:v>
      </x:c>
      <x:c r="J105" s="16" t="n">
        <x:v>11961.25</x:v>
      </x:c>
      <x:c r="K105" s="16" t="n">
        <x:v>573</x:v>
      </x:c>
      <x:c r="L105" s="16" t="n">
        <x:v>152.32</x:v>
      </x:c>
      <x:c r="M105" s="16" t="n">
        <x:v>136.93</x:v>
      </x:c>
      <x:c r="N105" s="16" t="n">
        <x:v>0.08171739720943758</x:v>
      </x:c>
      <x:c r="O105" s="16" t="n">
        <x:v>0.5360149672591207</x:v>
      </x:c>
    </x:row>
    <x:row r="106">
      <x:c r="A106" s="16" t="str">
        <x:v>All</x:v>
      </x:c>
      <x:c r="B106" s="16" t="str">
        <x:v>Corporate</x:v>
      </x:c>
      <x:c r="C106" s="16" t="str">
        <x:v>2015-01</x:v>
      </x:c>
      <x:c r="D106" s="16" t="n">
        <x:v>1613</x:v>
      </x:c>
      <x:c r="E106" s="16" t="n">
        <x:v>528</x:v>
      </x:c>
      <x:c r="F106" s="16" t="n">
        <x:v>3673</x:v>
      </x:c>
      <x:c r="G106" s="16" t="n">
        <x:v>317973.66</x:v>
      </x:c>
      <x:c r="H106" s="16" t="n">
        <x:v>286082.85</x:v>
      </x:c>
      <x:c r="I106" s="16" t="n">
        <x:v>31891.23</x:v>
      </x:c>
      <x:c r="J106" s="16" t="n">
        <x:v>28959.29</x:v>
      </x:c>
      <x:c r="K106" s="16" t="n">
        <x:v>830</x:v>
      </x:c>
      <x:c r="L106" s="16" t="n">
        <x:v>602.22</x:v>
      </x:c>
      <x:c r="M106" s="16" t="n">
        <x:v>541.82</x:v>
      </x:c>
      <x:c r="N106" s="16" t="n">
        <x:v>0.10122693478480099</x:v>
      </x:c>
      <x:c r="O106" s="16" t="n">
        <x:v>0.5145691258524488</x:v>
      </x:c>
    </x:row>
    <x:row r="107">
      <x:c r="A107" s="16" t="str">
        <x:v>All</x:v>
      </x:c>
      <x:c r="B107" s="16" t="str">
        <x:v>Corporate</x:v>
      </x:c>
      <x:c r="C107" s="16" t="str">
        <x:v>2015-02</x:v>
      </x:c>
      <x:c r="D107" s="16" t="n">
        <x:v>1403</x:v>
      </x:c>
      <x:c r="E107" s="16" t="n">
        <x:v>475</x:v>
      </x:c>
      <x:c r="F107" s="16" t="n">
        <x:v>3165</x:v>
      </x:c>
      <x:c r="G107" s="16" t="n">
        <x:v>274771.08</x:v>
      </x:c>
      <x:c r="H107" s="16" t="n">
        <x:v>246212.44</x:v>
      </x:c>
      <x:c r="I107" s="16" t="n">
        <x:v>28559.01</x:v>
      </x:c>
      <x:c r="J107" s="16" t="n">
        <x:v>32128.64</x:v>
      </x:c>
      <x:c r="K107" s="16" t="n">
        <x:v>766</x:v>
      </x:c>
      <x:c r="L107" s="16" t="n">
        <x:v>578.47</x:v>
      </x:c>
      <x:c r="M107" s="16" t="n">
        <x:v>518.34</x:v>
      </x:c>
      <x:c r="N107" s="16" t="n">
        <x:v>0.13049153812049463</x:v>
      </x:c>
      <x:c r="O107" s="16" t="n">
        <x:v>0.5459729151817534</x:v>
      </x:c>
    </x:row>
    <x:row r="108">
      <x:c r="A108" s="16" t="str">
        <x:v>All</x:v>
      </x:c>
      <x:c r="B108" s="16" t="str">
        <x:v>Corporate</x:v>
      </x:c>
      <x:c r="C108" s="16" t="str">
        <x:v>2015-03</x:v>
      </x:c>
      <x:c r="D108" s="16" t="n">
        <x:v>1628</x:v>
      </x:c>
      <x:c r="E108" s="16" t="n">
        <x:v>524</x:v>
      </x:c>
      <x:c r="F108" s="16" t="n">
        <x:v>3598</x:v>
      </x:c>
      <x:c r="G108" s="16" t="n">
        <x:v>321220.89</x:v>
      </x:c>
      <x:c r="H108" s="16" t="n">
        <x:v>287395.76</x:v>
      </x:c>
      <x:c r="I108" s="16" t="n">
        <x:v>33825.52</x:v>
      </x:c>
      <x:c r="J108" s="16" t="n">
        <x:v>39504.57</x:v>
      </x:c>
      <x:c r="K108" s="16" t="n">
        <x:v>884</x:v>
      </x:c>
      <x:c r="L108" s="16" t="n">
        <x:v>613.02</x:v>
      </x:c>
      <x:c r="M108" s="16" t="n">
        <x:v>548.47</x:v>
      </x:c>
      <x:c r="N108" s="16" t="n">
        <x:v>0.13745703833626494</x:v>
      </x:c>
      <x:c r="O108" s="16" t="n">
        <x:v>0.542997542997543</x:v>
      </x:c>
    </x:row>
    <x:row r="109">
      <x:c r="A109" s="16" t="str">
        <x:v>All</x:v>
      </x:c>
      <x:c r="B109" s="16" t="str">
        <x:v>Corporate</x:v>
      </x:c>
      <x:c r="C109" s="16" t="str">
        <x:v>2015-04</x:v>
      </x:c>
      <x:c r="D109" s="16" t="n">
        <x:v>1487</x:v>
      </x:c>
      <x:c r="E109" s="16" t="n">
        <x:v>500</x:v>
      </x:c>
      <x:c r="F109" s="16" t="n">
        <x:v>3289</x:v>
      </x:c>
      <x:c r="G109" s="16" t="n">
        <x:v>292889.83</x:v>
      </x:c>
      <x:c r="H109" s="16" t="n">
        <x:v>262923.83</x:v>
      </x:c>
      <x:c r="I109" s="16" t="n">
        <x:v>29966.34</x:v>
      </x:c>
      <x:c r="J109" s="16" t="n">
        <x:v>29448.55</x:v>
      </x:c>
      <x:c r="K109" s="16" t="n">
        <x:v>816</x:v>
      </x:c>
      <x:c r="L109" s="16" t="n">
        <x:v>585.78</x:v>
      </x:c>
      <x:c r="M109" s="16" t="n">
        <x:v>525.85</x:v>
      </x:c>
      <x:c r="N109" s="16" t="n">
        <x:v>0.11200411160905421</x:v>
      </x:c>
      <x:c r="O109" s="16" t="n">
        <x:v>0.5487558843308675</x:v>
      </x:c>
    </x:row>
    <x:row r="110">
      <x:c r="A110" s="16" t="str">
        <x:v>All</x:v>
      </x:c>
      <x:c r="B110" s="16" t="str">
        <x:v>Corporate</x:v>
      </x:c>
      <x:c r="C110" s="16" t="str">
        <x:v>2015-05</x:v>
      </x:c>
      <x:c r="D110" s="16" t="n">
        <x:v>1682</x:v>
      </x:c>
      <x:c r="E110" s="16" t="n">
        <x:v>550</x:v>
      </x:c>
      <x:c r="F110" s="16" t="n">
        <x:v>3689</x:v>
      </x:c>
      <x:c r="G110" s="16" t="n">
        <x:v>333329.04</x:v>
      </x:c>
      <x:c r="H110" s="16" t="n">
        <x:v>298802.67</x:v>
      </x:c>
      <x:c r="I110" s="16" t="n">
        <x:v>34526.83</x:v>
      </x:c>
      <x:c r="J110" s="16" t="n">
        <x:v>34737.14</x:v>
      </x:c>
      <x:c r="K110" s="16" t="n">
        <x:v>982</x:v>
      </x:c>
      <x:c r="L110" s="16" t="n">
        <x:v>606.05</x:v>
      </x:c>
      <x:c r="M110" s="16" t="n">
        <x:v>543.28</x:v>
      </x:c>
      <x:c r="N110" s="16" t="n">
        <x:v>0.11625444980126852</x:v>
      </x:c>
      <x:c r="O110" s="16" t="n">
        <x:v>0.5838287752675386</x:v>
      </x:c>
    </x:row>
    <x:row r="111">
      <x:c r="A111" s="16" t="str">
        <x:v>All</x:v>
      </x:c>
      <x:c r="B111" s="16" t="str">
        <x:v>Corporate</x:v>
      </x:c>
      <x:c r="C111" s="16" t="str">
        <x:v>2015-06</x:v>
      </x:c>
      <x:c r="D111" s="16" t="n">
        <x:v>1559</x:v>
      </x:c>
      <x:c r="E111" s="16" t="n">
        <x:v>522</x:v>
      </x:c>
      <x:c r="F111" s="16" t="n">
        <x:v>3352</x:v>
      </x:c>
      <x:c r="G111" s="16" t="n">
        <x:v>313304.13</x:v>
      </x:c>
      <x:c r="H111" s="16" t="n">
        <x:v>281780.59</x:v>
      </x:c>
      <x:c r="I111" s="16" t="n">
        <x:v>31523.87</x:v>
      </x:c>
      <x:c r="J111" s="16" t="n">
        <x:v>32140.53</x:v>
      </x:c>
      <x:c r="K111" s="16" t="n">
        <x:v>769</x:v>
      </x:c>
      <x:c r="L111" s="16" t="n">
        <x:v>600.2</x:v>
      </x:c>
      <x:c r="M111" s="16" t="n">
        <x:v>539.81</x:v>
      </x:c>
      <x:c r="N111" s="16" t="n">
        <x:v>0.11406225673670424</x:v>
      </x:c>
      <x:c r="O111" s="16" t="n">
        <x:v>0.4932649134060295</x:v>
      </x:c>
    </x:row>
    <x:row r="112">
      <x:c r="A112" s="16" t="str">
        <x:v>All</x:v>
      </x:c>
      <x:c r="B112" s="16" t="str">
        <x:v>Corporate</x:v>
      </x:c>
      <x:c r="C112" s="16" t="str">
        <x:v>2015-07</x:v>
      </x:c>
      <x:c r="D112" s="16" t="n">
        <x:v>1668</x:v>
      </x:c>
      <x:c r="E112" s="16" t="n">
        <x:v>551</x:v>
      </x:c>
      <x:c r="F112" s="16" t="n">
        <x:v>3725</x:v>
      </x:c>
      <x:c r="G112" s="16" t="n">
        <x:v>330451.75</x:v>
      </x:c>
      <x:c r="H112" s="16" t="n">
        <x:v>297649.56</x:v>
      </x:c>
      <x:c r="I112" s="16" t="n">
        <x:v>32802.55</x:v>
      </x:c>
      <x:c r="J112" s="16" t="n">
        <x:v>38642.24</x:v>
      </x:c>
      <x:c r="K112" s="16" t="n">
        <x:v>950</x:v>
      </x:c>
      <x:c r="L112" s="16" t="n">
        <x:v>599.73</x:v>
      </x:c>
      <x:c r="M112" s="16" t="n">
        <x:v>540.2</x:v>
      </x:c>
      <x:c r="N112" s="16" t="n">
        <x:v>0.1298246165725896</x:v>
      </x:c>
      <x:c r="O112" s="16" t="n">
        <x:v>0.5695443645083933</x:v>
      </x:c>
    </x:row>
    <x:row r="113">
      <x:c r="A113" s="16" t="str">
        <x:v>All</x:v>
      </x:c>
      <x:c r="B113" s="16" t="str">
        <x:v>Corporate</x:v>
      </x:c>
      <x:c r="C113" s="16" t="str">
        <x:v>2015-08</x:v>
      </x:c>
      <x:c r="D113" s="16" t="n">
        <x:v>1651</x:v>
      </x:c>
      <x:c r="E113" s="16" t="n">
        <x:v>551</x:v>
      </x:c>
      <x:c r="F113" s="16" t="n">
        <x:v>3583</x:v>
      </x:c>
      <x:c r="G113" s="16" t="n">
        <x:v>322081.07</x:v>
      </x:c>
      <x:c r="H113" s="16" t="n">
        <x:v>289370.15</x:v>
      </x:c>
      <x:c r="I113" s="16" t="n">
        <x:v>32711.33</x:v>
      </x:c>
      <x:c r="J113" s="16" t="n">
        <x:v>44385.42</x:v>
      </x:c>
      <x:c r="K113" s="16" t="n">
        <x:v>949</x:v>
      </x:c>
      <x:c r="L113" s="16" t="n">
        <x:v>584.54</x:v>
      </x:c>
      <x:c r="M113" s="16" t="n">
        <x:v>525.17</x:v>
      </x:c>
      <x:c r="N113" s="16" t="n">
        <x:v>0.15338631161507155</x:v>
      </x:c>
      <x:c r="O113" s="16" t="n">
        <x:v>0.5748031496062992</x:v>
      </x:c>
    </x:row>
    <x:row r="114">
      <x:c r="A114" s="16" t="str">
        <x:v>All</x:v>
      </x:c>
      <x:c r="B114" s="16" t="str">
        <x:v>Corporate</x:v>
      </x:c>
      <x:c r="C114" s="16" t="str">
        <x:v>2015-09</x:v>
      </x:c>
      <x:c r="D114" s="16" t="n">
        <x:v>1541</x:v>
      </x:c>
      <x:c r="E114" s="16" t="n">
        <x:v>506</x:v>
      </x:c>
      <x:c r="F114" s="16" t="n">
        <x:v>3402</x:v>
      </x:c>
      <x:c r="G114" s="16" t="n">
        <x:v>306729.01</x:v>
      </x:c>
      <x:c r="H114" s="16" t="n">
        <x:v>276123.44</x:v>
      </x:c>
      <x:c r="I114" s="16" t="n">
        <x:v>30605.88</x:v>
      </x:c>
      <x:c r="J114" s="16" t="n">
        <x:v>26945.32</x:v>
      </x:c>
      <x:c r="K114" s="16" t="n">
        <x:v>832</x:v>
      </x:c>
      <x:c r="L114" s="16" t="n">
        <x:v>606.18</x:v>
      </x:c>
      <x:c r="M114" s="16" t="n">
        <x:v>545.7</x:v>
      </x:c>
      <x:c r="N114" s="16" t="n">
        <x:v>0.09758432677790774</x:v>
      </x:c>
      <x:c r="O114" s="16" t="n">
        <x:v>0.5399091499026606</x:v>
      </x:c>
    </x:row>
    <x:row r="115">
      <x:c r="A115" s="16" t="str">
        <x:v>All</x:v>
      </x:c>
      <x:c r="B115" s="16" t="str">
        <x:v>Corporate</x:v>
      </x:c>
      <x:c r="C115" s="16" t="str">
        <x:v>2015-10</x:v>
      </x:c>
      <x:c r="D115" s="16" t="n">
        <x:v>1651</x:v>
      </x:c>
      <x:c r="E115" s="16" t="n">
        <x:v>550</x:v>
      </x:c>
      <x:c r="F115" s="16" t="n">
        <x:v>3640</x:v>
      </x:c>
      <x:c r="G115" s="16" t="n">
        <x:v>326310.72</x:v>
      </x:c>
      <x:c r="H115" s="16" t="n">
        <x:v>293589.86</x:v>
      </x:c>
      <x:c r="I115" s="16" t="n">
        <x:v>32721.25</x:v>
      </x:c>
      <x:c r="J115" s="16" t="n">
        <x:v>33052.64</x:v>
      </x:c>
      <x:c r="K115" s="16" t="n">
        <x:v>853</x:v>
      </x:c>
      <x:c r="L115" s="16" t="n">
        <x:v>593.29</x:v>
      </x:c>
      <x:c r="M115" s="16" t="n">
        <x:v>533.8</x:v>
      </x:c>
      <x:c r="N115" s="16" t="n">
        <x:v>0.11258099990238082</x:v>
      </x:c>
      <x:c r="O115" s="16" t="n">
        <x:v>0.516656571774682</x:v>
      </x:c>
    </x:row>
    <x:row r="116">
      <x:c r="A116" s="16" t="str">
        <x:v>All</x:v>
      </x:c>
      <x:c r="B116" s="16" t="str">
        <x:v>Corporate</x:v>
      </x:c>
      <x:c r="C116" s="16" t="str">
        <x:v>2015-11</x:v>
      </x:c>
      <x:c r="D116" s="16" t="n">
        <x:v>1582</x:v>
      </x:c>
      <x:c r="E116" s="16" t="n">
        <x:v>518</x:v>
      </x:c>
      <x:c r="F116" s="16" t="n">
        <x:v>3443</x:v>
      </x:c>
      <x:c r="G116" s="16" t="n">
        <x:v>303815.09</x:v>
      </x:c>
      <x:c r="H116" s="16" t="n">
        <x:v>273160.58</x:v>
      </x:c>
      <x:c r="I116" s="16" t="n">
        <x:v>30654.86</x:v>
      </x:c>
      <x:c r="J116" s="16" t="n">
        <x:v>23562.54</x:v>
      </x:c>
      <x:c r="K116" s="16" t="n">
        <x:v>843</x:v>
      </x:c>
      <x:c r="L116" s="16" t="n">
        <x:v>586.52</x:v>
      </x:c>
      <x:c r="M116" s="16" t="n">
        <x:v>527.34</x:v>
      </x:c>
      <x:c r="N116" s="16" t="n">
        <x:v>0.08625893238328898</x:v>
      </x:c>
      <x:c r="O116" s="16" t="n">
        <x:v>0.5328697850821744</x:v>
      </x:c>
    </x:row>
    <x:row r="117">
      <x:c r="A117" s="16" t="str">
        <x:v>All</x:v>
      </x:c>
      <x:c r="B117" s="16" t="str">
        <x:v>Corporate</x:v>
      </x:c>
      <x:c r="C117" s="16" t="str">
        <x:v>2015-12</x:v>
      </x:c>
      <x:c r="D117" s="16" t="n">
        <x:v>1700</x:v>
      </x:c>
      <x:c r="E117" s="16" t="n">
        <x:v>568</x:v>
      </x:c>
      <x:c r="F117" s="16" t="n">
        <x:v>3758</x:v>
      </x:c>
      <x:c r="G117" s="16" t="n">
        <x:v>336029.03</x:v>
      </x:c>
      <x:c r="H117" s="16" t="n">
        <x:v>300944.94</x:v>
      </x:c>
      <x:c r="I117" s="16" t="n">
        <x:v>35084.55</x:v>
      </x:c>
      <x:c r="J117" s="16" t="n">
        <x:v>33959.04</x:v>
      </x:c>
      <x:c r="K117" s="16" t="n">
        <x:v>938</x:v>
      </x:c>
      <x:c r="L117" s="16" t="n">
        <x:v>591.6</x:v>
      </x:c>
      <x:c r="M117" s="16" t="n">
        <x:v>529.83</x:v>
      </x:c>
      <x:c r="N117" s="16" t="n">
        <x:v>0.1128413722457005</x:v>
      </x:c>
      <x:c r="O117" s="16" t="n">
        <x:v>0.5517647058823529</x:v>
      </x:c>
    </x:row>
    <x:row r="118">
      <x:c r="A118" s="16" t="str">
        <x:v>All</x:v>
      </x:c>
      <x:c r="B118" s="16" t="str">
        <x:v>Corporate</x:v>
      </x:c>
      <x:c r="C118" s="16" t="str">
        <x:v>2016-01</x:v>
      </x:c>
      <x:c r="D118" s="16" t="n">
        <x:v>1681</x:v>
      </x:c>
      <x:c r="E118" s="16" t="n">
        <x:v>556</x:v>
      </x:c>
      <x:c r="F118" s="16" t="n">
        <x:v>3559</x:v>
      </x:c>
      <x:c r="G118" s="16" t="n">
        <x:v>330304.83</x:v>
      </x:c>
      <x:c r="H118" s="16" t="n">
        <x:v>297414.47</x:v>
      </x:c>
      <x:c r="I118" s="16" t="n">
        <x:v>32890.66</x:v>
      </x:c>
      <x:c r="J118" s="16" t="n">
        <x:v>36241.36</x:v>
      </x:c>
      <x:c r="K118" s="16" t="n">
        <x:v>973</x:v>
      </x:c>
      <x:c r="L118" s="16" t="n">
        <x:v>594.07</x:v>
      </x:c>
      <x:c r="M118" s="16" t="n">
        <x:v>534.92</x:v>
      </x:c>
      <x:c r="N118" s="16" t="n">
        <x:v>0.12185473020192998</x:v>
      </x:c>
      <x:c r="O118" s="16" t="n">
        <x:v>0.5788221296847115</x:v>
      </x:c>
    </x:row>
    <x:row r="119">
      <x:c r="A119" s="16" t="str">
        <x:v>All</x:v>
      </x:c>
      <x:c r="B119" s="16" t="str">
        <x:v>Corporate</x:v>
      </x:c>
      <x:c r="C119" s="16" t="str">
        <x:v>2016-02</x:v>
      </x:c>
      <x:c r="D119" s="16" t="n">
        <x:v>1439</x:v>
      </x:c>
      <x:c r="E119" s="16" t="n">
        <x:v>488</x:v>
      </x:c>
      <x:c r="F119" s="16" t="n">
        <x:v>3127</x:v>
      </x:c>
      <x:c r="G119" s="16" t="n">
        <x:v>283960.26</x:v>
      </x:c>
      <x:c r="H119" s="16" t="n">
        <x:v>255060.87</x:v>
      </x:c>
      <x:c r="I119" s="16" t="n">
        <x:v>28899.71</x:v>
      </x:c>
      <x:c r="J119" s="16" t="n">
        <x:v>29754.17</x:v>
      </x:c>
      <x:c r="K119" s="16" t="n">
        <x:v>783</x:v>
      </x:c>
      <x:c r="L119" s="16" t="n">
        <x:v>581.89</x:v>
      </x:c>
      <x:c r="M119" s="16" t="n">
        <x:v>522.67</x:v>
      </x:c>
      <x:c r="N119" s="16" t="n">
        <x:v>0.11665517333176195</x:v>
      </x:c>
      <x:c r="O119" s="16" t="n">
        <x:v>0.5441278665740097</x:v>
      </x:c>
    </x:row>
    <x:row r="120">
      <x:c r="A120" s="16" t="str">
        <x:v>All</x:v>
      </x:c>
      <x:c r="B120" s="16" t="str">
        <x:v>Corporate</x:v>
      </x:c>
      <x:c r="C120" s="16" t="str">
        <x:v>2016-03</x:v>
      </x:c>
      <x:c r="D120" s="16" t="n">
        <x:v>1527</x:v>
      </x:c>
      <x:c r="E120" s="16" t="n">
        <x:v>519</x:v>
      </x:c>
      <x:c r="F120" s="16" t="n">
        <x:v>3289</x:v>
      </x:c>
      <x:c r="G120" s="16" t="n">
        <x:v>297087.81</x:v>
      </x:c>
      <x:c r="H120" s="16" t="n">
        <x:v>266567.05</x:v>
      </x:c>
      <x:c r="I120" s="16" t="n">
        <x:v>30521.13</x:v>
      </x:c>
      <x:c r="J120" s="16" t="n">
        <x:v>31573.18</x:v>
      </x:c>
      <x:c r="K120" s="16" t="n">
        <x:v>851</x:v>
      </x:c>
      <x:c r="L120" s="16" t="n">
        <x:v>572.42</x:v>
      </x:c>
      <x:c r="M120" s="16" t="n">
        <x:v>513.62</x:v>
      </x:c>
      <x:c r="N120" s="16" t="n">
        <x:v>0.1184436711138905</x:v>
      </x:c>
      <x:c r="O120" s="16" t="n">
        <x:v>0.5573018991486575</x:v>
      </x:c>
    </x:row>
    <x:row r="121">
      <x:c r="A121" s="16" t="str">
        <x:v>All</x:v>
      </x:c>
      <x:c r="B121" s="16" t="str">
        <x:v>Corporate</x:v>
      </x:c>
      <x:c r="C121" s="16" t="str">
        <x:v>2016-04</x:v>
      </x:c>
      <x:c r="D121" s="16" t="n">
        <x:v>1679</x:v>
      </x:c>
      <x:c r="E121" s="16" t="n">
        <x:v>552</x:v>
      </x:c>
      <x:c r="F121" s="16" t="n">
        <x:v>3712</x:v>
      </x:c>
      <x:c r="G121" s="16" t="n">
        <x:v>329312.98</x:v>
      </x:c>
      <x:c r="H121" s="16" t="n">
        <x:v>295246.87</x:v>
      </x:c>
      <x:c r="I121" s="16" t="n">
        <x:v>34066.53</x:v>
      </x:c>
      <x:c r="J121" s="16" t="n">
        <x:v>36463.36</x:v>
      </x:c>
      <x:c r="K121" s="16" t="n">
        <x:v>921</x:v>
      </x:c>
      <x:c r="L121" s="16" t="n">
        <x:v>596.58</x:v>
      </x:c>
      <x:c r="M121" s="16" t="n">
        <x:v>534.87</x:v>
      </x:c>
      <x:c r="N121" s="16" t="n">
        <x:v>0.12350125845533944</x:v>
      </x:c>
      <x:c r="O121" s="16" t="n">
        <x:v>0.5485407980941036</x:v>
      </x:c>
    </x:row>
    <x:row r="122">
      <x:c r="A122" s="16" t="str">
        <x:v>All</x:v>
      </x:c>
      <x:c r="B122" s="16" t="str">
        <x:v>Corporate</x:v>
      </x:c>
      <x:c r="C122" s="16" t="str">
        <x:v>2016-05</x:v>
      </x:c>
      <x:c r="D122" s="16" t="n">
        <x:v>1601</x:v>
      </x:c>
      <x:c r="E122" s="16" t="n">
        <x:v>527</x:v>
      </x:c>
      <x:c r="F122" s="16" t="n">
        <x:v>3558</x:v>
      </x:c>
      <x:c r="G122" s="16" t="n">
        <x:v>314918.74</x:v>
      </x:c>
      <x:c r="H122" s="16" t="n">
        <x:v>283129.6</x:v>
      </x:c>
      <x:c r="I122" s="16" t="n">
        <x:v>31789.56</x:v>
      </x:c>
      <x:c r="J122" s="16" t="n">
        <x:v>30567.39</x:v>
      </x:c>
      <x:c r="K122" s="16" t="n">
        <x:v>844</x:v>
      </x:c>
      <x:c r="L122" s="16" t="n">
        <x:v>597.57</x:v>
      </x:c>
      <x:c r="M122" s="16" t="n">
        <x:v>537.25</x:v>
      </x:c>
      <x:c r="N122" s="16" t="n">
        <x:v>0.10796253729740728</x:v>
      </x:c>
      <x:c r="O122" s="16" t="n">
        <x:v>0.5271705184259837</x:v>
      </x:c>
    </x:row>
    <x:row r="123">
      <x:c r="A123" s="16" t="str">
        <x:v>All</x:v>
      </x:c>
      <x:c r="B123" s="16" t="str">
        <x:v>Corporate</x:v>
      </x:c>
      <x:c r="C123" s="16" t="str">
        <x:v>2016-06</x:v>
      </x:c>
      <x:c r="D123" s="16" t="n">
        <x:v>1510</x:v>
      </x:c>
      <x:c r="E123" s="16" t="n">
        <x:v>513</x:v>
      </x:c>
      <x:c r="F123" s="16" t="n">
        <x:v>3436</x:v>
      </x:c>
      <x:c r="G123" s="16" t="n">
        <x:v>300015.66</x:v>
      </x:c>
      <x:c r="H123" s="16" t="n">
        <x:v>270342.99</x:v>
      </x:c>
      <x:c r="I123" s="16" t="n">
        <x:v>29673.04</x:v>
      </x:c>
      <x:c r="J123" s="16" t="n">
        <x:v>25934.97</x:v>
      </x:c>
      <x:c r="K123" s="16" t="n">
        <x:v>902</x:v>
      </x:c>
      <x:c r="L123" s="16" t="n">
        <x:v>584.83</x:v>
      </x:c>
      <x:c r="M123" s="16" t="n">
        <x:v>526.98</x:v>
      </x:c>
      <x:c r="N123" s="16" t="n">
        <x:v>0.09593357682401901</x:v>
      </x:c>
      <x:c r="O123" s="16" t="n">
        <x:v>0.5973509933774834</x:v>
      </x:c>
    </x:row>
    <x:row r="124">
      <x:c r="A124" s="16" t="str">
        <x:v>All</x:v>
      </x:c>
      <x:c r="B124" s="16" t="str">
        <x:v>Corporate</x:v>
      </x:c>
      <x:c r="C124" s="16" t="str">
        <x:v>2016-07</x:v>
      </x:c>
      <x:c r="D124" s="16" t="n">
        <x:v>1504</x:v>
      </x:c>
      <x:c r="E124" s="16" t="n">
        <x:v>504</x:v>
      </x:c>
      <x:c r="F124" s="16" t="n">
        <x:v>3296</x:v>
      </x:c>
      <x:c r="G124" s="16" t="n">
        <x:v>289152.23</x:v>
      </x:c>
      <x:c r="H124" s="16" t="n">
        <x:v>259542.3</x:v>
      </x:c>
      <x:c r="I124" s="16" t="n">
        <x:v>29610.29</x:v>
      </x:c>
      <x:c r="J124" s="16" t="n">
        <x:v>36925.67</x:v>
      </x:c>
      <x:c r="K124" s="16" t="n">
        <x:v>812</x:v>
      </x:c>
      <x:c r="L124" s="16" t="n">
        <x:v>573.71</x:v>
      </x:c>
      <x:c r="M124" s="16" t="n">
        <x:v>514.96</x:v>
      </x:c>
      <x:c r="N124" s="16" t="n">
        <x:v>0.14227226159281164</x:v>
      </x:c>
      <x:c r="O124" s="16" t="n">
        <x:v>0.5398936170212766</x:v>
      </x:c>
    </x:row>
    <x:row r="125">
      <x:c r="A125" s="16" t="str">
        <x:v>All</x:v>
      </x:c>
      <x:c r="B125" s="16" t="str">
        <x:v>Corporate</x:v>
      </x:c>
      <x:c r="C125" s="16" t="str">
        <x:v>2016-08</x:v>
      </x:c>
      <x:c r="D125" s="16" t="n">
        <x:v>1553</x:v>
      </x:c>
      <x:c r="E125" s="16" t="n">
        <x:v>503</x:v>
      </x:c>
      <x:c r="F125" s="16" t="n">
        <x:v>3443</x:v>
      </x:c>
      <x:c r="G125" s="16" t="n">
        <x:v>303624.79</x:v>
      </x:c>
      <x:c r="H125" s="16" t="n">
        <x:v>272904.28</x:v>
      </x:c>
      <x:c r="I125" s="16" t="n">
        <x:v>30720.8</x:v>
      </x:c>
      <x:c r="J125" s="16" t="n">
        <x:v>34136.53</x:v>
      </x:c>
      <x:c r="K125" s="16" t="n">
        <x:v>851</x:v>
      </x:c>
      <x:c r="L125" s="16" t="n">
        <x:v>603.63</x:v>
      </x:c>
      <x:c r="M125" s="16" t="n">
        <x:v>542.55</x:v>
      </x:c>
      <x:c r="N125" s="16" t="n">
        <x:v>0.1250860924570329</x:v>
      </x:c>
      <x:c r="O125" s="16" t="n">
        <x:v>0.5479716677398584</x:v>
      </x:c>
    </x:row>
    <x:row r="126">
      <x:c r="A126" s="16" t="str">
        <x:v>All</x:v>
      </x:c>
      <x:c r="B126" s="16" t="str">
        <x:v>Corporate</x:v>
      </x:c>
      <x:c r="C126" s="16" t="str">
        <x:v>2016-09</x:v>
      </x:c>
      <x:c r="D126" s="16" t="n">
        <x:v>1549</x:v>
      </x:c>
      <x:c r="E126" s="16" t="n">
        <x:v>522</x:v>
      </x:c>
      <x:c r="F126" s="16" t="n">
        <x:v>3364</x:v>
      </x:c>
      <x:c r="G126" s="16" t="n">
        <x:v>293396.4</x:v>
      </x:c>
      <x:c r="H126" s="16" t="n">
        <x:v>263469.92</x:v>
      </x:c>
      <x:c r="I126" s="16" t="n">
        <x:v>29926.89</x:v>
      </x:c>
      <x:c r="J126" s="16" t="n">
        <x:v>40580.56</x:v>
      </x:c>
      <x:c r="K126" s="16" t="n">
        <x:v>859</x:v>
      </x:c>
      <x:c r="L126" s="16" t="n">
        <x:v>562.06</x:v>
      </x:c>
      <x:c r="M126" s="16" t="n">
        <x:v>504.73</x:v>
      </x:c>
      <x:c r="N126" s="16" t="n">
        <x:v>0.1540235029486478</x:v>
      </x:c>
      <x:c r="O126" s="16" t="n">
        <x:v>0.5545513234344739</x:v>
      </x:c>
    </x:row>
    <x:row r="127">
      <x:c r="A127" s="16" t="str">
        <x:v>All</x:v>
      </x:c>
      <x:c r="B127" s="16" t="str">
        <x:v>Corporate</x:v>
      </x:c>
      <x:c r="C127" s="16" t="str">
        <x:v>2016-10</x:v>
      </x:c>
      <x:c r="D127" s="16" t="n">
        <x:v>1628</x:v>
      </x:c>
      <x:c r="E127" s="16" t="n">
        <x:v>531</x:v>
      </x:c>
      <x:c r="F127" s="16" t="n">
        <x:v>3644</x:v>
      </x:c>
      <x:c r="G127" s="16" t="n">
        <x:v>313212.28</x:v>
      </x:c>
      <x:c r="H127" s="16" t="n">
        <x:v>281524.11</x:v>
      </x:c>
      <x:c r="I127" s="16" t="n">
        <x:v>31688.61</x:v>
      </x:c>
      <x:c r="J127" s="16" t="n">
        <x:v>34196</x:v>
      </x:c>
      <x:c r="K127" s="16" t="n">
        <x:v>916</x:v>
      </x:c>
      <x:c r="L127" s="16" t="n">
        <x:v>589.85</x:v>
      </x:c>
      <x:c r="M127" s="16" t="n">
        <x:v>530.18</x:v>
      </x:c>
      <x:c r="N127" s="16" t="n">
        <x:v>0.12146739403598505</x:v>
      </x:c>
      <x:c r="O127" s="16" t="n">
        <x:v>0.5626535626535627</x:v>
      </x:c>
    </x:row>
    <x:row r="128">
      <x:c r="A128" s="16" t="str">
        <x:v>All</x:v>
      </x:c>
      <x:c r="B128" s="16" t="str">
        <x:v>Corporate</x:v>
      </x:c>
      <x:c r="C128" s="16" t="str">
        <x:v>2016-11</x:v>
      </x:c>
      <x:c r="D128" s="16" t="n">
        <x:v>1531</x:v>
      </x:c>
      <x:c r="E128" s="16" t="n">
        <x:v>505</x:v>
      </x:c>
      <x:c r="F128" s="16" t="n">
        <x:v>3372</x:v>
      </x:c>
      <x:c r="G128" s="16" t="n">
        <x:v>306833.86</x:v>
      </x:c>
      <x:c r="H128" s="16" t="n">
        <x:v>274578.08</x:v>
      </x:c>
      <x:c r="I128" s="16" t="n">
        <x:v>32256.25</x:v>
      </x:c>
      <x:c r="J128" s="16" t="n">
        <x:v>26794.56</x:v>
      </x:c>
      <x:c r="K128" s="16" t="n">
        <x:v>889</x:v>
      </x:c>
      <x:c r="L128" s="16" t="n">
        <x:v>607.59</x:v>
      </x:c>
      <x:c r="M128" s="16" t="n">
        <x:v>543.72</x:v>
      </x:c>
      <x:c r="N128" s="16" t="n">
        <x:v>0.09758448307308434</x:v>
      </x:c>
      <x:c r="O128" s="16" t="n">
        <x:v>0.5806662312214239</x:v>
      </x:c>
    </x:row>
    <x:row r="129">
      <x:c r="A129" s="16" t="str">
        <x:v>All</x:v>
      </x:c>
      <x:c r="B129" s="16" t="str">
        <x:v>Corporate</x:v>
      </x:c>
      <x:c r="C129" s="16" t="str">
        <x:v>2016-12</x:v>
      </x:c>
      <x:c r="D129" s="16" t="n">
        <x:v>1552</x:v>
      </x:c>
      <x:c r="E129" s="16" t="n">
        <x:v>521</x:v>
      </x:c>
      <x:c r="F129" s="16" t="n">
        <x:v>3421</x:v>
      </x:c>
      <x:c r="G129" s="16" t="n">
        <x:v>309703.69</x:v>
      </x:c>
      <x:c r="H129" s="16" t="n">
        <x:v>277853.21</x:v>
      </x:c>
      <x:c r="I129" s="16" t="n">
        <x:v>31850.78</x:v>
      </x:c>
      <x:c r="J129" s="16" t="n">
        <x:v>31377.59</x:v>
      </x:c>
      <x:c r="K129" s="16" t="n">
        <x:v>865</x:v>
      </x:c>
      <x:c r="L129" s="16" t="n">
        <x:v>594.44</x:v>
      </x:c>
      <x:c r="M129" s="16" t="n">
        <x:v>533.31</x:v>
      </x:c>
      <x:c r="N129" s="16" t="n">
        <x:v>0.11292865754547157</x:v>
      </x:c>
      <x:c r="O129" s="16" t="n">
        <x:v>0.5573453608247423</x:v>
      </x:c>
    </x:row>
    <x:row r="130">
      <x:c r="A130" s="16" t="str">
        <x:v>All</x:v>
      </x:c>
      <x:c r="B130" s="16" t="str">
        <x:v>Corporate</x:v>
      </x:c>
      <x:c r="C130" s="16" t="str">
        <x:v>2017-01</x:v>
      </x:c>
      <x:c r="D130" s="16" t="n">
        <x:v>1541</x:v>
      </x:c>
      <x:c r="E130" s="16" t="n">
        <x:v>515</x:v>
      </x:c>
      <x:c r="F130" s="16" t="n">
        <x:v>3367</x:v>
      </x:c>
      <x:c r="G130" s="16" t="n">
        <x:v>306837.69</x:v>
      </x:c>
      <x:c r="H130" s="16" t="n">
        <x:v>276355.85</x:v>
      </x:c>
      <x:c r="I130" s="16" t="n">
        <x:v>30482.18</x:v>
      </x:c>
      <x:c r="J130" s="16" t="n">
        <x:v>35548.75</x:v>
      </x:c>
      <x:c r="K130" s="16" t="n">
        <x:v>854</x:v>
      </x:c>
      <x:c r="L130" s="16" t="n">
        <x:v>595.8</x:v>
      </x:c>
      <x:c r="M130" s="16" t="n">
        <x:v>536.61</x:v>
      </x:c>
      <x:c r="N130" s="16" t="n">
        <x:v>0.12863396957220194</x:v>
      </x:c>
      <x:c r="O130" s="16" t="n">
        <x:v>0.5541855937702791</x:v>
      </x:c>
    </x:row>
    <x:row r="131">
      <x:c r="A131" s="16" t="str">
        <x:v>All</x:v>
      </x:c>
      <x:c r="B131" s="16" t="str">
        <x:v>Corporate</x:v>
      </x:c>
      <x:c r="C131" s="16" t="str">
        <x:v>2017-02</x:v>
      </x:c>
      <x:c r="D131" s="16" t="n">
        <x:v>1601</x:v>
      </x:c>
      <x:c r="E131" s="16" t="n">
        <x:v>501</x:v>
      </x:c>
      <x:c r="F131" s="16" t="n">
        <x:v>3618</x:v>
      </x:c>
      <x:c r="G131" s="16" t="n">
        <x:v>325899.2</x:v>
      </x:c>
      <x:c r="H131" s="16" t="n">
        <x:v>292328.89</x:v>
      </x:c>
      <x:c r="I131" s="16" t="n">
        <x:v>33570.7</x:v>
      </x:c>
      <x:c r="J131" s="16" t="n">
        <x:v>39792.71</x:v>
      </x:c>
      <x:c r="K131" s="16" t="n">
        <x:v>881</x:v>
      </x:c>
      <x:c r="L131" s="16" t="n">
        <x:v>650.5</x:v>
      </x:c>
      <x:c r="M131" s="16" t="n">
        <x:v>583.49</x:v>
      </x:c>
      <x:c r="N131" s="16" t="n">
        <x:v>0.13612308383204957</x:v>
      </x:c>
      <x:c r="O131" s="16" t="n">
        <x:v>0.5502810743285447</x:v>
      </x:c>
    </x:row>
    <x:row r="132">
      <x:c r="A132" s="16" t="str">
        <x:v>All</x:v>
      </x:c>
      <x:c r="B132" s="16" t="str">
        <x:v>Corporate</x:v>
      </x:c>
      <x:c r="C132" s="16" t="str">
        <x:v>2017-03</x:v>
      </x:c>
      <x:c r="D132" s="16" t="n">
        <x:v>1714</x:v>
      </x:c>
      <x:c r="E132" s="16" t="n">
        <x:v>573</x:v>
      </x:c>
      <x:c r="F132" s="16" t="n">
        <x:v>3769</x:v>
      </x:c>
      <x:c r="G132" s="16" t="n">
        <x:v>335368.65</x:v>
      </x:c>
      <x:c r="H132" s="16" t="n">
        <x:v>302171.23</x:v>
      </x:c>
      <x:c r="I132" s="16" t="n">
        <x:v>33197.79</x:v>
      </x:c>
      <x:c r="J132" s="16" t="n">
        <x:v>39134.97</x:v>
      </x:c>
      <x:c r="K132" s="16" t="n">
        <x:v>881</x:v>
      </x:c>
      <x:c r="L132" s="16" t="n">
        <x:v>585.29</x:v>
      </x:c>
      <x:c r="M132" s="16" t="n">
        <x:v>527.35</x:v>
      </x:c>
      <x:c r="N132" s="16" t="n">
        <x:v>0.12951256147052784</x:v>
      </x:c>
      <x:c r="O132" s="16" t="n">
        <x:v>0.5140023337222871</x:v>
      </x:c>
    </x:row>
    <x:row r="133">
      <x:c r="A133" s="16" t="str">
        <x:v>All</x:v>
      </x:c>
      <x:c r="B133" s="16" t="str">
        <x:v>Corporate</x:v>
      </x:c>
      <x:c r="C133" s="16" t="str">
        <x:v>2017-04</x:v>
      </x:c>
      <x:c r="D133" s="16" t="n">
        <x:v>1475</x:v>
      </x:c>
      <x:c r="E133" s="16" t="n">
        <x:v>493</x:v>
      </x:c>
      <x:c r="F133" s="16" t="n">
        <x:v>3177</x:v>
      </x:c>
      <x:c r="G133" s="16" t="n">
        <x:v>295931.4</x:v>
      </x:c>
      <x:c r="H133" s="16" t="n">
        <x:v>265532.86</x:v>
      </x:c>
      <x:c r="I133" s="16" t="n">
        <x:v>30398.93</x:v>
      </x:c>
      <x:c r="J133" s="16" t="n">
        <x:v>31574.6</x:v>
      </x:c>
      <x:c r="K133" s="16" t="n">
        <x:v>810</x:v>
      </x:c>
      <x:c r="L133" s="16" t="n">
        <x:v>600.27</x:v>
      </x:c>
      <x:c r="M133" s="16" t="n">
        <x:v>538.61</x:v>
      </x:c>
      <x:c r="N133" s="16" t="n">
        <x:v>0.11891032996820054</x:v>
      </x:c>
      <x:c r="O133" s="16" t="n">
        <x:v>0.5491525423728814</x:v>
      </x:c>
    </x:row>
    <x:row r="134">
      <x:c r="A134" s="16" t="str">
        <x:v>All</x:v>
      </x:c>
      <x:c r="B134" s="16" t="str">
        <x:v>Corporate</x:v>
      </x:c>
      <x:c r="C134" s="16" t="str">
        <x:v>2017-05</x:v>
      </x:c>
      <x:c r="D134" s="16" t="n">
        <x:v>1692</x:v>
      </x:c>
      <x:c r="E134" s="16" t="n">
        <x:v>561</x:v>
      </x:c>
      <x:c r="F134" s="16" t="n">
        <x:v>3454</x:v>
      </x:c>
      <x:c r="G134" s="16" t="n">
        <x:v>355405.75</x:v>
      </x:c>
      <x:c r="H134" s="16" t="n">
        <x:v>319789.13</x:v>
      </x:c>
      <x:c r="I134" s="16" t="n">
        <x:v>35617.03</x:v>
      </x:c>
      <x:c r="J134" s="16" t="n">
        <x:v>41593.1</x:v>
      </x:c>
      <x:c r="K134" s="16" t="n">
        <x:v>870</x:v>
      </x:c>
      <x:c r="L134" s="16" t="n">
        <x:v>633.52</x:v>
      </x:c>
      <x:c r="M134" s="16" t="n">
        <x:v>570.03</x:v>
      </x:c>
      <x:c r="N134" s="16" t="n">
        <x:v>0.1300641457075167</x:v>
      </x:c>
      <x:c r="O134" s="16" t="n">
        <x:v>0.5141843971631206</x:v>
      </x:c>
    </x:row>
    <x:row r="135">
      <x:c r="A135" s="16" t="str">
        <x:v>All</x:v>
      </x:c>
      <x:c r="B135" s="16" t="str">
        <x:v>Corporate</x:v>
      </x:c>
      <x:c r="C135" s="16" t="str">
        <x:v>2017-06</x:v>
      </x:c>
      <x:c r="D135" s="16" t="n">
        <x:v>1522</x:v>
      </x:c>
      <x:c r="E135" s="16" t="n">
        <x:v>515</x:v>
      </x:c>
      <x:c r="F135" s="16" t="n">
        <x:v>3219</x:v>
      </x:c>
      <x:c r="G135" s="16" t="n">
        <x:v>319067.65</x:v>
      </x:c>
      <x:c r="H135" s="16" t="n">
        <x:v>286150.29</x:v>
      </x:c>
      <x:c r="I135" s="16" t="n">
        <x:v>32917.73</x:v>
      </x:c>
      <x:c r="J135" s="16" t="n">
        <x:v>31107.06</x:v>
      </x:c>
      <x:c r="K135" s="16" t="n">
        <x:v>779</x:v>
      </x:c>
      <x:c r="L135" s="16" t="n">
        <x:v>619.55</x:v>
      </x:c>
      <x:c r="M135" s="16" t="n">
        <x:v>555.63</x:v>
      </x:c>
      <x:c r="N135" s="16" t="n">
        <x:v>0.1087088187120132</x:v>
      </x:c>
      <x:c r="O135" s="16" t="n">
        <x:v>0.511826544021025</x:v>
      </x:c>
    </x:row>
    <x:row r="136">
      <x:c r="A136" s="16" t="str">
        <x:v>All</x:v>
      </x:c>
      <x:c r="B136" s="16" t="str">
        <x:v>Corporate</x:v>
      </x:c>
      <x:c r="C136" s="16" t="str">
        <x:v>2017-07</x:v>
      </x:c>
      <x:c r="D136" s="16" t="n">
        <x:v>1614</x:v>
      </x:c>
      <x:c r="E136" s="16" t="n">
        <x:v>534</x:v>
      </x:c>
      <x:c r="F136" s="16" t="n">
        <x:v>3374</x:v>
      </x:c>
      <x:c r="G136" s="16" t="n">
        <x:v>334417.82</x:v>
      </x:c>
      <x:c r="H136" s="16" t="n">
        <x:v>301177.72</x:v>
      </x:c>
      <x:c r="I136" s="16" t="n">
        <x:v>33240.52</x:v>
      </x:c>
      <x:c r="J136" s="16" t="n">
        <x:v>35079.94</x:v>
      </x:c>
      <x:c r="K136" s="16" t="n">
        <x:v>860</x:v>
      </x:c>
      <x:c r="L136" s="16" t="n">
        <x:v>626.25</x:v>
      </x:c>
      <x:c r="M136" s="16" t="n">
        <x:v>564</x:v>
      </x:c>
      <x:c r="N136" s="16" t="n">
        <x:v>0.11647588008834119</x:v>
      </x:c>
      <x:c r="O136" s="16" t="n">
        <x:v>0.5328376703841388</x:v>
      </x:c>
    </x:row>
    <x:row r="137">
      <x:c r="A137" s="16" t="str">
        <x:v>All</x:v>
      </x:c>
      <x:c r="B137" s="16" t="str">
        <x:v>Corporate</x:v>
      </x:c>
      <x:c r="C137" s="16" t="str">
        <x:v>2017-08</x:v>
      </x:c>
      <x:c r="D137" s="16" t="n">
        <x:v>1550</x:v>
      </x:c>
      <x:c r="E137" s="16" t="n">
        <x:v>520</x:v>
      </x:c>
      <x:c r="F137" s="16" t="n">
        <x:v>3274</x:v>
      </x:c>
      <x:c r="G137" s="16" t="n">
        <x:v>322278.55</x:v>
      </x:c>
      <x:c r="H137" s="16" t="n">
        <x:v>289744.06</x:v>
      </x:c>
      <x:c r="I137" s="16" t="n">
        <x:v>32534.89</x:v>
      </x:c>
      <x:c r="J137" s="16" t="n">
        <x:v>34726.6</x:v>
      </x:c>
      <x:c r="K137" s="16" t="n">
        <x:v>883</x:v>
      </x:c>
      <x:c r="L137" s="16" t="n">
        <x:v>619.77</x:v>
      </x:c>
      <x:c r="M137" s="16" t="n">
        <x:v>557.2</x:v>
      </x:c>
      <x:c r="N137" s="16" t="n">
        <x:v>0.11985267273468868</x:v>
      </x:c>
      <x:c r="O137" s="16" t="n">
        <x:v>0.5696774193548387</x:v>
      </x:c>
    </x:row>
    <x:row r="138">
      <x:c r="A138" s="16" t="str">
        <x:v>All</x:v>
      </x:c>
      <x:c r="B138" s="16" t="str">
        <x:v>Corporate</x:v>
      </x:c>
      <x:c r="C138" s="16" t="str">
        <x:v>2017-09</x:v>
      </x:c>
      <x:c r="D138" s="16" t="n">
        <x:v>1557</x:v>
      </x:c>
      <x:c r="E138" s="16" t="n">
        <x:v>508</x:v>
      </x:c>
      <x:c r="F138" s="16" t="n">
        <x:v>3092</x:v>
      </x:c>
      <x:c r="G138" s="16" t="n">
        <x:v>340644.34</x:v>
      </x:c>
      <x:c r="H138" s="16" t="n">
        <x:v>305178.69</x:v>
      </x:c>
      <x:c r="I138" s="16" t="n">
        <x:v>35466.05</x:v>
      </x:c>
      <x:c r="J138" s="16" t="n">
        <x:v>37525.68</x:v>
      </x:c>
      <x:c r="K138" s="16" t="n">
        <x:v>860</x:v>
      </x:c>
      <x:c r="L138" s="16" t="n">
        <x:v>670.56</x:v>
      </x:c>
      <x:c r="M138" s="16" t="n">
        <x:v>600.75</x:v>
      </x:c>
      <x:c r="N138" s="16" t="n">
        <x:v>0.1229629762156722</x:v>
      </x:c>
      <x:c r="O138" s="16" t="n">
        <x:v>0.552344251766217</x:v>
      </x:c>
    </x:row>
    <x:row r="139">
      <x:c r="A139" s="16" t="str">
        <x:v>All</x:v>
      </x:c>
      <x:c r="B139" s="16" t="str">
        <x:v>Corporate</x:v>
      </x:c>
      <x:c r="C139" s="16" t="str">
        <x:v>2017-10</x:v>
      </x:c>
      <x:c r="D139" s="16" t="n">
        <x:v>702</x:v>
      </x:c>
      <x:c r="E139" s="16" t="n">
        <x:v>650</x:v>
      </x:c>
      <x:c r="F139" s="16" t="n">
        <x:v>776</x:v>
      </x:c>
      <x:c r="G139" s="16" t="n">
        <x:v>321969.64</x:v>
      </x:c>
      <x:c r="H139" s="16" t="n">
        <x:v>288162.12</x:v>
      </x:c>
      <x:c r="I139" s="16" t="n">
        <x:v>33807.79</x:v>
      </x:c>
      <x:c r="J139" s="16" t="n">
        <x:v>35376.79</x:v>
      </x:c>
      <x:c r="K139" s="16" t="n">
        <x:v>354</x:v>
      </x:c>
      <x:c r="L139" s="16" t="n">
        <x:v>495.34</x:v>
      </x:c>
      <x:c r="M139" s="16" t="n">
        <x:v>443.33</x:v>
      </x:c>
      <x:c r="N139" s="16" t="n">
        <x:v>0.12276696881602621</x:v>
      </x:c>
      <x:c r="O139" s="16" t="n">
        <x:v>0.5042735042735043</x:v>
      </x:c>
    </x:row>
    <x:row r="140">
      <x:c r="A140" s="16" t="str">
        <x:v>All</x:v>
      </x:c>
      <x:c r="B140" s="16" t="str">
        <x:v>Corporate</x:v>
      </x:c>
      <x:c r="C140" s="16" t="str">
        <x:v>2017-11</x:v>
      </x:c>
      <x:c r="D140" s="16" t="n">
        <x:v>669</x:v>
      </x:c>
      <x:c r="E140" s="16" t="n">
        <x:v>669</x:v>
      </x:c>
      <x:c r="F140" s="16" t="n">
        <x:v>669</x:v>
      </x:c>
      <x:c r="G140" s="16" t="n">
        <x:v>203195.58</x:v>
      </x:c>
      <x:c r="H140" s="16" t="n">
        <x:v>182128.21</x:v>
      </x:c>
      <x:c r="I140" s="16" t="n">
        <x:v>21067.61</x:v>
      </x:c>
      <x:c r="J140" s="16" t="n">
        <x:v>22664.74</x:v>
      </x:c>
      <x:c r="K140" s="16" t="n">
        <x:v>351</x:v>
      </x:c>
      <x:c r="L140" s="16" t="n">
        <x:v>303.73</x:v>
      </x:c>
      <x:c r="M140" s="16" t="n">
        <x:v>272.24</x:v>
      </x:c>
      <x:c r="N140" s="16" t="n">
        <x:v>0.12444387390618951</x:v>
      </x:c>
      <x:c r="O140" s="16" t="n">
        <x:v>0.5246636771300448</x:v>
      </x:c>
    </x:row>
    <x:row r="141">
      <x:c r="A141" s="16" t="str">
        <x:v>All</x:v>
      </x:c>
      <x:c r="B141" s="16" t="str">
        <x:v>Corporate</x:v>
      </x:c>
      <x:c r="C141" s="16" t="str">
        <x:v>2017-12</x:v>
      </x:c>
      <x:c r="D141" s="16" t="n">
        <x:v>614</x:v>
      </x:c>
      <x:c r="E141" s="16" t="n">
        <x:v>614</x:v>
      </x:c>
      <x:c r="F141" s="16" t="n">
        <x:v>614</x:v>
      </x:c>
      <x:c r="G141" s="16" t="n">
        <x:v>152231.34</x:v>
      </x:c>
      <x:c r="H141" s="16" t="n">
        <x:v>136091.31</x:v>
      </x:c>
      <x:c r="I141" s="16" t="n">
        <x:v>16140.39</x:v>
      </x:c>
      <x:c r="J141" s="16" t="n">
        <x:v>14541.36</x:v>
      </x:c>
      <x:c r="K141" s="16" t="n">
        <x:v>357</x:v>
      </x:c>
      <x:c r="L141" s="16" t="n">
        <x:v>247.93</x:v>
      </x:c>
      <x:c r="M141" s="16" t="n">
        <x:v>221.65</x:v>
      </x:c>
      <x:c r="N141" s="16" t="n">
        <x:v>0.10685002591274932</x:v>
      </x:c>
      <x:c r="O141" s="16" t="n">
        <x:v>0.5814332247557004</x:v>
      </x:c>
    </x:row>
    <x:row r="142">
      <x:c r="A142" s="16" t="str">
        <x:v>All</x:v>
      </x:c>
      <x:c r="B142" s="16" t="str">
        <x:v>Corporate</x:v>
      </x:c>
      <x:c r="C142" s="16" t="str">
        <x:v>2018-01</x:v>
      </x:c>
      <x:c r="D142" s="16" t="n">
        <x:v>619</x:v>
      </x:c>
      <x:c r="E142" s="16" t="n">
        <x:v>619</x:v>
      </x:c>
      <x:c r="F142" s="16" t="n">
        <x:v>619</x:v>
      </x:c>
      <x:c r="G142" s="16" t="n">
        <x:v>104730.19</x:v>
      </x:c>
      <x:c r="H142" s="16" t="n">
        <x:v>94169.02</x:v>
      </x:c>
      <x:c r="I142" s="16" t="n">
        <x:v>10561.62</x:v>
      </x:c>
      <x:c r="J142" s="16" t="n">
        <x:v>11897.4</x:v>
      </x:c>
      <x:c r="K142" s="16" t="n">
        <x:v>364</x:v>
      </x:c>
      <x:c r="L142" s="16" t="n">
        <x:v>169.19</x:v>
      </x:c>
      <x:c r="M142" s="16" t="n">
        <x:v>152.13</x:v>
      </x:c>
      <x:c r="N142" s="16" t="n">
        <x:v>0.12634091339168654</x:v>
      </x:c>
      <x:c r="O142" s="16" t="n">
        <x:v>0.5880452342487884</x:v>
      </x:c>
    </x:row>
    <x:row r="143">
      <x:c r="A143" s="16" t="str">
        <x:v>All</x:v>
      </x:c>
      <x:c r="B143" s="16" t="str">
        <x:v>Home Office</x:v>
      </x:c>
      <x:c r="C143" s="16" t="str">
        <x:v>2015-01</x:v>
      </x:c>
      <x:c r="D143" s="16" t="n">
        <x:v>946</x:v>
      </x:c>
      <x:c r="E143" s="16" t="n">
        <x:v>331</x:v>
      </x:c>
      <x:c r="F143" s="16" t="n">
        <x:v>2099</x:v>
      </x:c>
      <x:c r="G143" s="16" t="n">
        <x:v>186133.9</x:v>
      </x:c>
      <x:c r="H143" s="16" t="n">
        <x:v>167331.41</x:v>
      </x:c>
      <x:c r="I143" s="16" t="n">
        <x:v>18802.64</x:v>
      </x:c>
      <x:c r="J143" s="16" t="n">
        <x:v>19739.05</x:v>
      </x:c>
      <x:c r="K143" s="16" t="n">
        <x:v>505</x:v>
      </x:c>
      <x:c r="L143" s="16" t="n">
        <x:v>562.34</x:v>
      </x:c>
      <x:c r="M143" s="16" t="n">
        <x:v>505.53</x:v>
      </x:c>
      <x:c r="N143" s="16" t="n">
        <x:v>0.11796380607801009</x:v>
      </x:c>
      <x:c r="O143" s="16" t="n">
        <x:v>0.5338266384778013</x:v>
      </x:c>
    </x:row>
    <x:row r="144">
      <x:c r="A144" s="16" t="str">
        <x:v>All</x:v>
      </x:c>
      <x:c r="B144" s="16" t="str">
        <x:v>Home Office</x:v>
      </x:c>
      <x:c r="C144" s="16" t="str">
        <x:v>2015-02</x:v>
      </x:c>
      <x:c r="D144" s="16" t="n">
        <x:v>908</x:v>
      </x:c>
      <x:c r="E144" s="16" t="n">
        <x:v>295</x:v>
      </x:c>
      <x:c r="F144" s="16" t="n">
        <x:v>1964</x:v>
      </x:c>
      <x:c r="G144" s="16" t="n">
        <x:v>175675.96</x:v>
      </x:c>
      <x:c r="H144" s="16" t="n">
        <x:v>158280.11</x:v>
      </x:c>
      <x:c r="I144" s="16" t="n">
        <x:v>17395.98</x:v>
      </x:c>
      <x:c r="J144" s="16" t="n">
        <x:v>16767.23</x:v>
      </x:c>
      <x:c r="K144" s="16" t="n">
        <x:v>487</x:v>
      </x:c>
      <x:c r="L144" s="16" t="n">
        <x:v>595.51</x:v>
      </x:c>
      <x:c r="M144" s="16" t="n">
        <x:v>536.54</x:v>
      </x:c>
      <x:c r="N144" s="16" t="n">
        <x:v>0.1059339041399453</x:v>
      </x:c>
      <x:c r="O144" s="16" t="n">
        <x:v>0.5363436123348018</x:v>
      </x:c>
    </x:row>
    <x:row r="145">
      <x:c r="A145" s="16" t="str">
        <x:v>All</x:v>
      </x:c>
      <x:c r="B145" s="16" t="str">
        <x:v>Home Office</x:v>
      </x:c>
      <x:c r="C145" s="16" t="str">
        <x:v>2015-03</x:v>
      </x:c>
      <x:c r="D145" s="16" t="n">
        <x:v>939</x:v>
      </x:c>
      <x:c r="E145" s="16" t="n">
        <x:v>311</x:v>
      </x:c>
      <x:c r="F145" s="16" t="n">
        <x:v>1999</x:v>
      </x:c>
      <x:c r="G145" s="16" t="n">
        <x:v>181367.13</x:v>
      </x:c>
      <x:c r="H145" s="16" t="n">
        <x:v>164070.39</x:v>
      </x:c>
      <x:c r="I145" s="16" t="n">
        <x:v>17296.94</x:v>
      </x:c>
      <x:c r="J145" s="16" t="n">
        <x:v>19882.32</x:v>
      </x:c>
      <x:c r="K145" s="16" t="n">
        <x:v>502</x:v>
      </x:c>
      <x:c r="L145" s="16" t="n">
        <x:v>583.17</x:v>
      </x:c>
      <x:c r="M145" s="16" t="n">
        <x:v>527.56</x:v>
      </x:c>
      <x:c r="N145" s="16" t="n">
        <x:v>0.12118164648721806</x:v>
      </x:c>
      <x:c r="O145" s="16" t="n">
        <x:v>0.5346112886048988</x:v>
      </x:c>
    </x:row>
    <x:row r="146">
      <x:c r="A146" s="16" t="str">
        <x:v>All</x:v>
      </x:c>
      <x:c r="B146" s="16" t="str">
        <x:v>Home Office</x:v>
      </x:c>
      <x:c r="C146" s="16" t="str">
        <x:v>2015-04</x:v>
      </x:c>
      <x:c r="D146" s="16" t="n">
        <x:v>911</x:v>
      </x:c>
      <x:c r="E146" s="16" t="n">
        <x:v>303</x:v>
      </x:c>
      <x:c r="F146" s="16" t="n">
        <x:v>1975</x:v>
      </x:c>
      <x:c r="G146" s="16" t="n">
        <x:v>175467.57</x:v>
      </x:c>
      <x:c r="H146" s="16" t="n">
        <x:v>157123.72</x:v>
      </x:c>
      <x:c r="I146" s="16" t="n">
        <x:v>18344.06</x:v>
      </x:c>
      <x:c r="J146" s="16" t="n">
        <x:v>18183</x:v>
      </x:c>
      <x:c r="K146" s="16" t="n">
        <x:v>460</x:v>
      </x:c>
      <x:c r="L146" s="16" t="n">
        <x:v>579.1</x:v>
      </x:c>
      <x:c r="M146" s="16" t="n">
        <x:v>518.56</x:v>
      </x:c>
      <x:c r="N146" s="16" t="n">
        <x:v>0.115724093090464</x:v>
      </x:c>
      <x:c r="O146" s="16" t="n">
        <x:v>0.5049396267837541</x:v>
      </x:c>
    </x:row>
    <x:row r="147">
      <x:c r="A147" s="16" t="str">
        <x:v>All</x:v>
      </x:c>
      <x:c r="B147" s="16" t="str">
        <x:v>Home Office</x:v>
      </x:c>
      <x:c r="C147" s="16" t="str">
        <x:v>2015-05</x:v>
      </x:c>
      <x:c r="D147" s="16" t="n">
        <x:v>952</x:v>
      </x:c>
      <x:c r="E147" s="16" t="n">
        <x:v>319</x:v>
      </x:c>
      <x:c r="F147" s="16" t="n">
        <x:v>2104</x:v>
      </x:c>
      <x:c r="G147" s="16" t="n">
        <x:v>187596.06</x:v>
      </x:c>
      <x:c r="H147" s="16" t="n">
        <x:v>168340.73</x:v>
      </x:c>
      <x:c r="I147" s="16" t="n">
        <x:v>19255.57</x:v>
      </x:c>
      <x:c r="J147" s="16" t="n">
        <x:v>21863.08</x:v>
      </x:c>
      <x:c r="K147" s="16" t="n">
        <x:v>481</x:v>
      </x:c>
      <x:c r="L147" s="16" t="n">
        <x:v>588.08</x:v>
      </x:c>
      <x:c r="M147" s="16" t="n">
        <x:v>527.71</x:v>
      </x:c>
      <x:c r="N147" s="16" t="n">
        <x:v>0.1298739764286397</x:v>
      </x:c>
      <x:c r="O147" s="16" t="n">
        <x:v>0.5052521008403361</x:v>
      </x:c>
    </x:row>
    <x:row r="148">
      <x:c r="A148" s="16" t="str">
        <x:v>All</x:v>
      </x:c>
      <x:c r="B148" s="16" t="str">
        <x:v>Home Office</x:v>
      </x:c>
      <x:c r="C148" s="16" t="str">
        <x:v>2015-06</x:v>
      </x:c>
      <x:c r="D148" s="16" t="n">
        <x:v>905</x:v>
      </x:c>
      <x:c r="E148" s="16" t="n">
        <x:v>313</x:v>
      </x:c>
      <x:c r="F148" s="16" t="n">
        <x:v>1944</x:v>
      </x:c>
      <x:c r="G148" s="16" t="n">
        <x:v>175454.19</x:v>
      </x:c>
      <x:c r="H148" s="16" t="n">
        <x:v>158704.57</x:v>
      </x:c>
      <x:c r="I148" s="16" t="n">
        <x:v>16749.86</x:v>
      </x:c>
      <x:c r="J148" s="16" t="n">
        <x:v>17243.41</x:v>
      </x:c>
      <x:c r="K148" s="16" t="n">
        <x:v>482</x:v>
      </x:c>
      <x:c r="L148" s="16" t="n">
        <x:v>560.56</x:v>
      </x:c>
      <x:c r="M148" s="16" t="n">
        <x:v>507.04</x:v>
      </x:c>
      <x:c r="N148" s="16" t="n">
        <x:v>0.10865099851882022</x:v>
      </x:c>
      <x:c r="O148" s="16" t="n">
        <x:v>0.532596685082873</x:v>
      </x:c>
    </x:row>
    <x:row r="149">
      <x:c r="A149" s="16" t="str">
        <x:v>All</x:v>
      </x:c>
      <x:c r="B149" s="16" t="str">
        <x:v>Home Office</x:v>
      </x:c>
      <x:c r="C149" s="16" t="str">
        <x:v>2015-07</x:v>
      </x:c>
      <x:c r="D149" s="16" t="n">
        <x:v>943</x:v>
      </x:c>
      <x:c r="E149" s="16" t="n">
        <x:v>313</x:v>
      </x:c>
      <x:c r="F149" s="16" t="n">
        <x:v>2130</x:v>
      </x:c>
      <x:c r="G149" s="16" t="n">
        <x:v>180331.99</x:v>
      </x:c>
      <x:c r="H149" s="16" t="n">
        <x:v>161279.09</x:v>
      </x:c>
      <x:c r="I149" s="16" t="n">
        <x:v>19053.2</x:v>
      </x:c>
      <x:c r="J149" s="16" t="n">
        <x:v>15758.58</x:v>
      </x:c>
      <x:c r="K149" s="16" t="n">
        <x:v>537</x:v>
      </x:c>
      <x:c r="L149" s="16" t="n">
        <x:v>576.14</x:v>
      </x:c>
      <x:c r="M149" s="16" t="n">
        <x:v>515.27</x:v>
      </x:c>
      <x:c r="N149" s="16" t="n">
        <x:v>0.09771000071987014</x:v>
      </x:c>
      <x:c r="O149" s="16" t="n">
        <x:v>0.5694591728525981</x:v>
      </x:c>
    </x:row>
    <x:row r="150">
      <x:c r="A150" s="16" t="str">
        <x:v>All</x:v>
      </x:c>
      <x:c r="B150" s="16" t="str">
        <x:v>Home Office</x:v>
      </x:c>
      <x:c r="C150" s="16" t="str">
        <x:v>2015-08</x:v>
      </x:c>
      <x:c r="D150" s="16" t="n">
        <x:v>913</x:v>
      </x:c>
      <x:c r="E150" s="16" t="n">
        <x:v>318</x:v>
      </x:c>
      <x:c r="F150" s="16" t="n">
        <x:v>1948</x:v>
      </x:c>
      <x:c r="G150" s="16" t="n">
        <x:v>176719.31</x:v>
      </x:c>
      <x:c r="H150" s="16" t="n">
        <x:v>158967.56</x:v>
      </x:c>
      <x:c r="I150" s="16" t="n">
        <x:v>17751.96</x:v>
      </x:c>
      <x:c r="J150" s="16" t="n">
        <x:v>16930.95</x:v>
      </x:c>
      <x:c r="K150" s="16" t="n">
        <x:v>504</x:v>
      </x:c>
      <x:c r="L150" s="16" t="n">
        <x:v>555.72</x:v>
      </x:c>
      <x:c r="M150" s="16" t="n">
        <x:v>499.9</x:v>
      </x:c>
      <x:c r="N150" s="16" t="n">
        <x:v>0.1065056921047288</x:v>
      </x:c>
      <x:c r="O150" s="16" t="n">
        <x:v>0.552026286966046</x:v>
      </x:c>
    </x:row>
    <x:row r="151">
      <x:c r="A151" s="16" t="str">
        <x:v>All</x:v>
      </x:c>
      <x:c r="B151" s="16" t="str">
        <x:v>Home Office</x:v>
      </x:c>
      <x:c r="C151" s="16" t="str">
        <x:v>2015-09</x:v>
      </x:c>
      <x:c r="D151" s="16" t="n">
        <x:v>890</x:v>
      </x:c>
      <x:c r="E151" s="16" t="n">
        <x:v>299</x:v>
      </x:c>
      <x:c r="F151" s="16" t="n">
        <x:v>1993</x:v>
      </x:c>
      <x:c r="G151" s="16" t="n">
        <x:v>176238.44</x:v>
      </x:c>
      <x:c r="H151" s="16" t="n">
        <x:v>156981.31</x:v>
      </x:c>
      <x:c r="I151" s="16" t="n">
        <x:v>19257.47</x:v>
      </x:c>
      <x:c r="J151" s="16" t="n">
        <x:v>18439.51</x:v>
      </x:c>
      <x:c r="K151" s="16" t="n">
        <x:v>508</x:v>
      </x:c>
      <x:c r="L151" s="16" t="n">
        <x:v>589.43</x:v>
      </x:c>
      <x:c r="M151" s="16" t="n">
        <x:v>525.02</x:v>
      </x:c>
      <x:c r="N151" s="16" t="n">
        <x:v>0.1174630916253661</x:v>
      </x:c>
      <x:c r="O151" s="16" t="n">
        <x:v>0.5707865168539326</x:v>
      </x:c>
    </x:row>
    <x:row r="152">
      <x:c r="A152" s="16" t="str">
        <x:v>All</x:v>
      </x:c>
      <x:c r="B152" s="16" t="str">
        <x:v>Home Office</x:v>
      </x:c>
      <x:c r="C152" s="16" t="str">
        <x:v>2015-10</x:v>
      </x:c>
      <x:c r="D152" s="16" t="n">
        <x:v>988</x:v>
      </x:c>
      <x:c r="E152" s="16" t="n">
        <x:v>332</x:v>
      </x:c>
      <x:c r="F152" s="16" t="n">
        <x:v>2176</x:v>
      </x:c>
      <x:c r="G152" s="16" t="n">
        <x:v>193865.43</x:v>
      </x:c>
      <x:c r="H152" s="16" t="n">
        <x:v>174210.49</x:v>
      </x:c>
      <x:c r="I152" s="16" t="n">
        <x:v>19655.16</x:v>
      </x:c>
      <x:c r="J152" s="16" t="n">
        <x:v>22773.19</x:v>
      </x:c>
      <x:c r="K152" s="16" t="n">
        <x:v>558</x:v>
      </x:c>
      <x:c r="L152" s="16" t="n">
        <x:v>583.93</x:v>
      </x:c>
      <x:c r="M152" s="16" t="n">
        <x:v>524.73</x:v>
      </x:c>
      <x:c r="N152" s="16" t="n">
        <x:v>0.13072226592095573</x:v>
      </x:c>
      <x:c r="O152" s="16" t="n">
        <x:v>0.5647773279352226</x:v>
      </x:c>
    </x:row>
    <x:row r="153">
      <x:c r="A153" s="16" t="str">
        <x:v>All</x:v>
      </x:c>
      <x:c r="B153" s="16" t="str">
        <x:v>Home Office</x:v>
      </x:c>
      <x:c r="C153" s="16" t="str">
        <x:v>2015-11</x:v>
      </x:c>
      <x:c r="D153" s="16" t="n">
        <x:v>960</x:v>
      </x:c>
      <x:c r="E153" s="16" t="n">
        <x:v>309</x:v>
      </x:c>
      <x:c r="F153" s="16" t="n">
        <x:v>2043</x:v>
      </x:c>
      <x:c r="G153" s="16" t="n">
        <x:v>191772.4</x:v>
      </x:c>
      <x:c r="H153" s="16" t="n">
        <x:v>172478.47</x:v>
      </x:c>
      <x:c r="I153" s="16" t="n">
        <x:v>19294.21</x:v>
      </x:c>
      <x:c r="J153" s="16" t="n">
        <x:v>23247.36</x:v>
      </x:c>
      <x:c r="K153" s="16" t="n">
        <x:v>501</x:v>
      </x:c>
      <x:c r="L153" s="16" t="n">
        <x:v>620.62</x:v>
      </x:c>
      <x:c r="M153" s="16" t="n">
        <x:v>558.18</x:v>
      </x:c>
      <x:c r="N153" s="16" t="n">
        <x:v>0.13478412696958642</x:v>
      </x:c>
      <x:c r="O153" s="16" t="n">
        <x:v>0.521875</x:v>
      </x:c>
    </x:row>
    <x:row r="154">
      <x:c r="A154" s="16" t="str">
        <x:v>All</x:v>
      </x:c>
      <x:c r="B154" s="16" t="str">
        <x:v>Home Office</x:v>
      </x:c>
      <x:c r="C154" s="16" t="str">
        <x:v>2015-12</x:v>
      </x:c>
      <x:c r="D154" s="16" t="n">
        <x:v>952</x:v>
      </x:c>
      <x:c r="E154" s="16" t="n">
        <x:v>318</x:v>
      </x:c>
      <x:c r="F154" s="16" t="n">
        <x:v>2134</x:v>
      </x:c>
      <x:c r="G154" s="16" t="n">
        <x:v>186379.26</x:v>
      </x:c>
      <x:c r="H154" s="16" t="n">
        <x:v>167728.04</x:v>
      </x:c>
      <x:c r="I154" s="16" t="n">
        <x:v>18651.42</x:v>
      </x:c>
      <x:c r="J154" s="16" t="n">
        <x:v>19358.02</x:v>
      </x:c>
      <x:c r="K154" s="16" t="n">
        <x:v>503</x:v>
      </x:c>
      <x:c r="L154" s="16" t="n">
        <x:v>586.1</x:v>
      </x:c>
      <x:c r="M154" s="16" t="n">
        <x:v>527.45</x:v>
      </x:c>
      <x:c r="N154" s="16" t="n">
        <x:v>0.11541314141630701</x:v>
      </x:c>
      <x:c r="O154" s="16" t="n">
        <x:v>0.5283613445378151</x:v>
      </x:c>
    </x:row>
    <x:row r="155">
      <x:c r="A155" s="16" t="str">
        <x:v>All</x:v>
      </x:c>
      <x:c r="B155" s="16" t="str">
        <x:v>Home Office</x:v>
      </x:c>
      <x:c r="C155" s="16" t="str">
        <x:v>2016-01</x:v>
      </x:c>
      <x:c r="D155" s="16" t="n">
        <x:v>947</x:v>
      </x:c>
      <x:c r="E155" s="16" t="n">
        <x:v>312</x:v>
      </x:c>
      <x:c r="F155" s="16" t="n">
        <x:v>2077</x:v>
      </x:c>
      <x:c r="G155" s="16" t="n">
        <x:v>188668.25</x:v>
      </x:c>
      <x:c r="H155" s="16" t="n">
        <x:v>169679.56</x:v>
      </x:c>
      <x:c r="I155" s="16" t="n">
        <x:v>18988.95</x:v>
      </x:c>
      <x:c r="J155" s="16" t="n">
        <x:v>22096.59</x:v>
      </x:c>
      <x:c r="K155" s="16" t="n">
        <x:v>527</x:v>
      </x:c>
      <x:c r="L155" s="16" t="n">
        <x:v>604.71</x:v>
      </x:c>
      <x:c r="M155" s="16" t="n">
        <x:v>543.84</x:v>
      </x:c>
      <x:c r="N155" s="16" t="n">
        <x:v>0.1302254084110072</x:v>
      </x:c>
      <x:c r="O155" s="16" t="n">
        <x:v>0.5564941921858501</x:v>
      </x:c>
    </x:row>
    <x:row r="156">
      <x:c r="A156" s="16" t="str">
        <x:v>All</x:v>
      </x:c>
      <x:c r="B156" s="16" t="str">
        <x:v>Home Office</x:v>
      </x:c>
      <x:c r="C156" s="16" t="str">
        <x:v>2016-02</x:v>
      </x:c>
      <x:c r="D156" s="16" t="n">
        <x:v>902</x:v>
      </x:c>
      <x:c r="E156" s="16" t="n">
        <x:v>291</x:v>
      </x:c>
      <x:c r="F156" s="16" t="n">
        <x:v>2006</x:v>
      </x:c>
      <x:c r="G156" s="16" t="n">
        <x:v>179591.79</x:v>
      </x:c>
      <x:c r="H156" s="16" t="n">
        <x:v>161818.3</x:v>
      </x:c>
      <x:c r="I156" s="16" t="n">
        <x:v>17773.73</x:v>
      </x:c>
      <x:c r="J156" s="16" t="n">
        <x:v>12995.85</x:v>
      </x:c>
      <x:c r="K156" s="16" t="n">
        <x:v>479</x:v>
      </x:c>
      <x:c r="L156" s="16" t="n">
        <x:v>617.15</x:v>
      </x:c>
      <x:c r="M156" s="16" t="n">
        <x:v>556.08</x:v>
      </x:c>
      <x:c r="N156" s="16" t="n">
        <x:v>0.08031137392989546</x:v>
      </x:c>
      <x:c r="O156" s="16" t="n">
        <x:v>0.5310421286031042</x:v>
      </x:c>
    </x:row>
    <x:row r="157">
      <x:c r="A157" s="16" t="str">
        <x:v>All</x:v>
      </x:c>
      <x:c r="B157" s="16" t="str">
        <x:v>Home Office</x:v>
      </x:c>
      <x:c r="C157" s="16" t="str">
        <x:v>2016-03</x:v>
      </x:c>
      <x:c r="D157" s="16" t="n">
        <x:v>975</x:v>
      </x:c>
      <x:c r="E157" s="16" t="n">
        <x:v>330</x:v>
      </x:c>
      <x:c r="F157" s="16" t="n">
        <x:v>2103</x:v>
      </x:c>
      <x:c r="G157" s="16" t="n">
        <x:v>188952.73</x:v>
      </x:c>
      <x:c r="H157" s="16" t="n">
        <x:v>169624.65</x:v>
      </x:c>
      <x:c r="I157" s="16" t="n">
        <x:v>19328.26</x:v>
      </x:c>
      <x:c r="J157" s="16" t="n">
        <x:v>16336.09</x:v>
      </x:c>
      <x:c r="K157" s="16" t="n">
        <x:v>564</x:v>
      </x:c>
      <x:c r="L157" s="16" t="n">
        <x:v>572.58</x:v>
      </x:c>
      <x:c r="M157" s="16" t="n">
        <x:v>514.01</x:v>
      </x:c>
      <x:c r="N157" s="16" t="n">
        <x:v>0.09630728788533978</x:v>
      </x:c>
      <x:c r="O157" s="16" t="n">
        <x:v>0.5784615384615385</x:v>
      </x:c>
    </x:row>
    <x:row r="158">
      <x:c r="A158" s="16" t="str">
        <x:v>All</x:v>
      </x:c>
      <x:c r="B158" s="16" t="str">
        <x:v>Home Office</x:v>
      </x:c>
      <x:c r="C158" s="16" t="str">
        <x:v>2016-04</x:v>
      </x:c>
      <x:c r="D158" s="16" t="n">
        <x:v>809</x:v>
      </x:c>
      <x:c r="E158" s="16" t="n">
        <x:v>267</x:v>
      </x:c>
      <x:c r="F158" s="16" t="n">
        <x:v>1786</x:v>
      </x:c>
      <x:c r="G158" s="16" t="n">
        <x:v>157387.37</x:v>
      </x:c>
      <x:c r="H158" s="16" t="n">
        <x:v>142023.04</x:v>
      </x:c>
      <x:c r="I158" s="16" t="n">
        <x:v>15364.48</x:v>
      </x:c>
      <x:c r="J158" s="16" t="n">
        <x:v>21298.07</x:v>
      </x:c>
      <x:c r="K158" s="16" t="n">
        <x:v>484</x:v>
      </x:c>
      <x:c r="L158" s="16" t="n">
        <x:v>589.47</x:v>
      </x:c>
      <x:c r="M158" s="16" t="n">
        <x:v>531.92</x:v>
      </x:c>
      <x:c r="N158" s="16" t="n">
        <x:v>0.1499620765757443</x:v>
      </x:c>
      <x:c r="O158" s="16" t="n">
        <x:v>0.5982694684796045</x:v>
      </x:c>
    </x:row>
    <x:row r="159">
      <x:c r="A159" s="16" t="str">
        <x:v>All</x:v>
      </x:c>
      <x:c r="B159" s="16" t="str">
        <x:v>Home Office</x:v>
      </x:c>
      <x:c r="C159" s="16" t="str">
        <x:v>2016-05</x:v>
      </x:c>
      <x:c r="D159" s="16" t="n">
        <x:v>896</x:v>
      </x:c>
      <x:c r="E159" s="16" t="n">
        <x:v>294</x:v>
      </x:c>
      <x:c r="F159" s="16" t="n">
        <x:v>1957</x:v>
      </x:c>
      <x:c r="G159" s="16" t="n">
        <x:v>174640.29</x:v>
      </x:c>
      <x:c r="H159" s="16" t="n">
        <x:v>156991.34</x:v>
      </x:c>
      <x:c r="I159" s="16" t="n">
        <x:v>17649.15</x:v>
      </x:c>
      <x:c r="J159" s="16" t="n">
        <x:v>16521.9</x:v>
      </x:c>
      <x:c r="K159" s="16" t="n">
        <x:v>549</x:v>
      </x:c>
      <x:c r="L159" s="16" t="n">
        <x:v>594.01</x:v>
      </x:c>
      <x:c r="M159" s="16" t="n">
        <x:v>533.98</x:v>
      </x:c>
      <x:c r="N159" s="16" t="n">
        <x:v>0.10524083685125563</x:v>
      </x:c>
      <x:c r="O159" s="16" t="n">
        <x:v>0.6127232142857143</x:v>
      </x:c>
    </x:row>
    <x:row r="160">
      <x:c r="A160" s="16" t="str">
        <x:v>All</x:v>
      </x:c>
      <x:c r="B160" s="16" t="str">
        <x:v>Home Office</x:v>
      </x:c>
      <x:c r="C160" s="16" t="str">
        <x:v>2016-06</x:v>
      </x:c>
      <x:c r="D160" s="16" t="n">
        <x:v>899</x:v>
      </x:c>
      <x:c r="E160" s="16" t="n">
        <x:v>290</x:v>
      </x:c>
      <x:c r="F160" s="16" t="n">
        <x:v>1927</x:v>
      </x:c>
      <x:c r="G160" s="16" t="n">
        <x:v>181985.13</x:v>
      </x:c>
      <x:c r="H160" s="16" t="n">
        <x:v>163223.05</x:v>
      </x:c>
      <x:c r="I160" s="16" t="n">
        <x:v>18762.3</x:v>
      </x:c>
      <x:c r="J160" s="16" t="n">
        <x:v>20853.38</x:v>
      </x:c>
      <x:c r="K160" s="16" t="n">
        <x:v>470</x:v>
      </x:c>
      <x:c r="L160" s="16" t="n">
        <x:v>627.53</x:v>
      </x:c>
      <x:c r="M160" s="16" t="n">
        <x:v>562.84</x:v>
      </x:c>
      <x:c r="N160" s="16" t="n">
        <x:v>0.12776001918846633</x:v>
      </x:c>
      <x:c r="O160" s="16" t="n">
        <x:v>0.5228031145717463</x:v>
      </x:c>
    </x:row>
    <x:row r="161">
      <x:c r="A161" s="16" t="str">
        <x:v>All</x:v>
      </x:c>
      <x:c r="B161" s="16" t="str">
        <x:v>Home Office</x:v>
      </x:c>
      <x:c r="C161" s="16" t="str">
        <x:v>2016-07</x:v>
      </x:c>
      <x:c r="D161" s="16" t="n">
        <x:v>1023</x:v>
      </x:c>
      <x:c r="E161" s="16" t="n">
        <x:v>337</x:v>
      </x:c>
      <x:c r="F161" s="16" t="n">
        <x:v>2258</x:v>
      </x:c>
      <x:c r="G161" s="16" t="n">
        <x:v>201795.49</x:v>
      </x:c>
      <x:c r="H161" s="16" t="n">
        <x:v>181358.2</x:v>
      </x:c>
      <x:c r="I161" s="16" t="n">
        <x:v>20437.49</x:v>
      </x:c>
      <x:c r="J161" s="16" t="n">
        <x:v>23230.83</x:v>
      </x:c>
      <x:c r="K161" s="16" t="n">
        <x:v>550</x:v>
      </x:c>
      <x:c r="L161" s="16" t="n">
        <x:v>598.8</x:v>
      </x:c>
      <x:c r="M161" s="16" t="n">
        <x:v>538.15</x:v>
      </x:c>
      <x:c r="N161" s="16" t="n">
        <x:v>0.12809362907218974</x:v>
      </x:c>
      <x:c r="O161" s="16" t="n">
        <x:v>0.5376344086021505</x:v>
      </x:c>
    </x:row>
    <x:row r="162">
      <x:c r="A162" s="16" t="str">
        <x:v>All</x:v>
      </x:c>
      <x:c r="B162" s="16" t="str">
        <x:v>Home Office</x:v>
      </x:c>
      <x:c r="C162" s="16" t="str">
        <x:v>2016-08</x:v>
      </x:c>
      <x:c r="D162" s="16" t="n">
        <x:v>948</x:v>
      </x:c>
      <x:c r="E162" s="16" t="n">
        <x:v>317</x:v>
      </x:c>
      <x:c r="F162" s="16" t="n">
        <x:v>2031</x:v>
      </x:c>
      <x:c r="G162" s="16" t="n">
        <x:v>182267.1</x:v>
      </x:c>
      <x:c r="H162" s="16" t="n">
        <x:v>163876.65</x:v>
      </x:c>
      <x:c r="I162" s="16" t="n">
        <x:v>18390.69</x:v>
      </x:c>
      <x:c r="J162" s="16" t="n">
        <x:v>13549.07</x:v>
      </x:c>
      <x:c r="K162" s="16" t="n">
        <x:v>534</x:v>
      </x:c>
      <x:c r="L162" s="16" t="n">
        <x:v>574.98</x:v>
      </x:c>
      <x:c r="M162" s="16" t="n">
        <x:v>516.96</x:v>
      </x:c>
      <x:c r="N162" s="16" t="n">
        <x:v>0.08267846578508897</x:v>
      </x:c>
      <x:c r="O162" s="16" t="n">
        <x:v>0.5632911392405063</x:v>
      </x:c>
    </x:row>
    <x:row r="163">
      <x:c r="A163" s="16" t="str">
        <x:v>All</x:v>
      </x:c>
      <x:c r="B163" s="16" t="str">
        <x:v>Home Office</x:v>
      </x:c>
      <x:c r="C163" s="16" t="str">
        <x:v>2016-09</x:v>
      </x:c>
      <x:c r="D163" s="16" t="n">
        <x:v>890</x:v>
      </x:c>
      <x:c r="E163" s="16" t="n">
        <x:v>306</x:v>
      </x:c>
      <x:c r="F163" s="16" t="n">
        <x:v>1936</x:v>
      </x:c>
      <x:c r="G163" s="16" t="n">
        <x:v>174586.34</x:v>
      </x:c>
      <x:c r="H163" s="16" t="n">
        <x:v>157329.99</x:v>
      </x:c>
      <x:c r="I163" s="16" t="n">
        <x:v>17256.55</x:v>
      </x:c>
      <x:c r="J163" s="16" t="n">
        <x:v>15498.17</x:v>
      </x:c>
      <x:c r="K163" s="16" t="n">
        <x:v>473</x:v>
      </x:c>
      <x:c r="L163" s="16" t="n">
        <x:v>570.54</x:v>
      </x:c>
      <x:c r="M163" s="16" t="n">
        <x:v>514.15</x:v>
      </x:c>
      <x:c r="N163" s="16" t="n">
        <x:v>0.09850741107909561</x:v>
      </x:c>
      <x:c r="O163" s="16" t="n">
        <x:v>0.5314606741573034</x:v>
      </x:c>
    </x:row>
    <x:row r="164">
      <x:c r="A164" s="16" t="str">
        <x:v>All</x:v>
      </x:c>
      <x:c r="B164" s="16" t="str">
        <x:v>Home Office</x:v>
      </x:c>
      <x:c r="C164" s="16" t="str">
        <x:v>2016-10</x:v>
      </x:c>
      <x:c r="D164" s="16" t="n">
        <x:v>869</x:v>
      </x:c>
      <x:c r="E164" s="16" t="n">
        <x:v>295</x:v>
      </x:c>
      <x:c r="F164" s="16" t="n">
        <x:v>1951</x:v>
      </x:c>
      <x:c r="G164" s="16" t="n">
        <x:v>170497.97</x:v>
      </x:c>
      <x:c r="H164" s="16" t="n">
        <x:v>152525.44</x:v>
      </x:c>
      <x:c r="I164" s="16" t="n">
        <x:v>17972.74</x:v>
      </x:c>
      <x:c r="J164" s="16" t="n">
        <x:v>18807.7</x:v>
      </x:c>
      <x:c r="K164" s="16" t="n">
        <x:v>507</x:v>
      </x:c>
      <x:c r="L164" s="16" t="n">
        <x:v>577.96</x:v>
      </x:c>
      <x:c r="M164" s="16" t="n">
        <x:v>517.04</x:v>
      </x:c>
      <x:c r="N164" s="16" t="n">
        <x:v>0.12330861002597338</x:v>
      </x:c>
      <x:c r="O164" s="16" t="n">
        <x:v>0.5834292289988493</x:v>
      </x:c>
    </x:row>
    <x:row r="165">
      <x:c r="A165" s="16" t="str">
        <x:v>All</x:v>
      </x:c>
      <x:c r="B165" s="16" t="str">
        <x:v>Home Office</x:v>
      </x:c>
      <x:c r="C165" s="16" t="str">
        <x:v>2016-11</x:v>
      </x:c>
      <x:c r="D165" s="16" t="n">
        <x:v>958</x:v>
      </x:c>
      <x:c r="E165" s="16" t="n">
        <x:v>313</x:v>
      </x:c>
      <x:c r="F165" s="16" t="n">
        <x:v>2147</x:v>
      </x:c>
      <x:c r="G165" s="16" t="n">
        <x:v>192236.32</x:v>
      </x:c>
      <x:c r="H165" s="16" t="n">
        <x:v>173357.04</x:v>
      </x:c>
      <x:c r="I165" s="16" t="n">
        <x:v>18879.55</x:v>
      </x:c>
      <x:c r="J165" s="16" t="n">
        <x:v>20759.06</x:v>
      </x:c>
      <x:c r="K165" s="16" t="n">
        <x:v>494</x:v>
      </x:c>
      <x:c r="L165" s="16" t="n">
        <x:v>614.17</x:v>
      </x:c>
      <x:c r="M165" s="16" t="n">
        <x:v>553.86</x:v>
      </x:c>
      <x:c r="N165" s="16" t="n">
        <x:v>0.1197474299284298</x:v>
      </x:c>
      <x:c r="O165" s="16" t="n">
        <x:v>0.5156576200417536</x:v>
      </x:c>
    </x:row>
    <x:row r="166">
      <x:c r="A166" s="16" t="str">
        <x:v>All</x:v>
      </x:c>
      <x:c r="B166" s="16" t="str">
        <x:v>Home Office</x:v>
      </x:c>
      <x:c r="C166" s="16" t="str">
        <x:v>2016-12</x:v>
      </x:c>
      <x:c r="D166" s="16" t="n">
        <x:v>968</x:v>
      </x:c>
      <x:c r="E166" s="16" t="n">
        <x:v>316</x:v>
      </x:c>
      <x:c r="F166" s="16" t="n">
        <x:v>2186</x:v>
      </x:c>
      <x:c r="G166" s="16" t="n">
        <x:v>186275.68</x:v>
      </x:c>
      <x:c r="H166" s="16" t="n">
        <x:v>167308.55</x:v>
      </x:c>
      <x:c r="I166" s="16" t="n">
        <x:v>18967.46</x:v>
      </x:c>
      <x:c r="J166" s="16" t="n">
        <x:v>21351.6</x:v>
      </x:c>
      <x:c r="K166" s="16" t="n">
        <x:v>557</x:v>
      </x:c>
      <x:c r="L166" s="16" t="n">
        <x:v>589.48</x:v>
      </x:c>
      <x:c r="M166" s="16" t="n">
        <x:v>529.46</x:v>
      </x:c>
      <x:c r="N166" s="16" t="n">
        <x:v>0.1276181043945453</x:v>
      </x:c>
      <x:c r="O166" s="16" t="n">
        <x:v>0.5754132231404959</x:v>
      </x:c>
    </x:row>
    <x:row r="167">
      <x:c r="A167" s="16" t="str">
        <x:v>All</x:v>
      </x:c>
      <x:c r="B167" s="16" t="str">
        <x:v>Home Office</x:v>
      </x:c>
      <x:c r="C167" s="16" t="str">
        <x:v>2017-01</x:v>
      </x:c>
      <x:c r="D167" s="16" t="n">
        <x:v>894</x:v>
      </x:c>
      <x:c r="E167" s="16" t="n">
        <x:v>304</x:v>
      </x:c>
      <x:c r="F167" s="16" t="n">
        <x:v>2005</x:v>
      </x:c>
      <x:c r="G167" s="16" t="n">
        <x:v>170601.42</x:v>
      </x:c>
      <x:c r="H167" s="16" t="n">
        <x:v>152621.84</x:v>
      </x:c>
      <x:c r="I167" s="16" t="n">
        <x:v>17979.82</x:v>
      </x:c>
      <x:c r="J167" s="16" t="n">
        <x:v>26826.42</x:v>
      </x:c>
      <x:c r="K167" s="16" t="n">
        <x:v>453</x:v>
      </x:c>
      <x:c r="L167" s="16" t="n">
        <x:v>561.19</x:v>
      </x:c>
      <x:c r="M167" s="16" t="n">
        <x:v>502.05</x:v>
      </x:c>
      <x:c r="N167" s="16" t="n">
        <x:v>0.17577051881958705</x:v>
      </x:c>
      <x:c r="O167" s="16" t="n">
        <x:v>0.5067114093959731</x:v>
      </x:c>
    </x:row>
    <x:row r="168">
      <x:c r="A168" s="16" t="str">
        <x:v>All</x:v>
      </x:c>
      <x:c r="B168" s="16" t="str">
        <x:v>Home Office</x:v>
      </x:c>
      <x:c r="C168" s="16" t="str">
        <x:v>2017-02</x:v>
      </x:c>
      <x:c r="D168" s="16" t="n">
        <x:v>850</x:v>
      </x:c>
      <x:c r="E168" s="16" t="n">
        <x:v>288</x:v>
      </x:c>
      <x:c r="F168" s="16" t="n">
        <x:v>1930</x:v>
      </x:c>
      <x:c r="G168" s="16" t="n">
        <x:v>175249.25</x:v>
      </x:c>
      <x:c r="H168" s="16" t="n">
        <x:v>157283.5</x:v>
      </x:c>
      <x:c r="I168" s="16" t="n">
        <x:v>17965.93</x:v>
      </x:c>
      <x:c r="J168" s="16" t="n">
        <x:v>20198.51</x:v>
      </x:c>
      <x:c r="K168" s="16" t="n">
        <x:v>490</x:v>
      </x:c>
      <x:c r="L168" s="16" t="n">
        <x:v>608.5</x:v>
      </x:c>
      <x:c r="M168" s="16" t="n">
        <x:v>546.12</x:v>
      </x:c>
      <x:c r="N168" s="16" t="n">
        <x:v>0.1284210359001421</x:v>
      </x:c>
      <x:c r="O168" s="16" t="n">
        <x:v>0.5764705882352941</x:v>
      </x:c>
    </x:row>
    <x:row r="169">
      <x:c r="A169" s="16" t="str">
        <x:v>All</x:v>
      </x:c>
      <x:c r="B169" s="16" t="str">
        <x:v>Home Office</x:v>
      </x:c>
      <x:c r="C169" s="16" t="str">
        <x:v>2017-03</x:v>
      </x:c>
      <x:c r="D169" s="16" t="n">
        <x:v>1029</x:v>
      </x:c>
      <x:c r="E169" s="16" t="n">
        <x:v>338</x:v>
      </x:c>
      <x:c r="F169" s="16" t="n">
        <x:v>2229</x:v>
      </x:c>
      <x:c r="G169" s="16" t="n">
        <x:v>204588.69</x:v>
      </x:c>
      <x:c r="H169" s="16" t="n">
        <x:v>184361.31</x:v>
      </x:c>
      <x:c r="I169" s="16" t="n">
        <x:v>20227.59</x:v>
      </x:c>
      <x:c r="J169" s="16" t="n">
        <x:v>25506.35</x:v>
      </x:c>
      <x:c r="K169" s="16" t="n">
        <x:v>599</x:v>
      </x:c>
      <x:c r="L169" s="16" t="n">
        <x:v>605.29</x:v>
      </x:c>
      <x:c r="M169" s="16" t="n">
        <x:v>545.45</x:v>
      </x:c>
      <x:c r="N169" s="16" t="n">
        <x:v>0.1383497980134769</x:v>
      </x:c>
      <x:c r="O169" s="16" t="n">
        <x:v>0.5821185617103984</x:v>
      </x:c>
    </x:row>
    <x:row r="170">
      <x:c r="A170" s="16" t="str">
        <x:v>All</x:v>
      </x:c>
      <x:c r="B170" s="16" t="str">
        <x:v>Home Office</x:v>
      </x:c>
      <x:c r="C170" s="16" t="str">
        <x:v>2017-04</x:v>
      </x:c>
      <x:c r="D170" s="16" t="n">
        <x:v>942</x:v>
      </x:c>
      <x:c r="E170" s="16" t="n">
        <x:v>323</x:v>
      </x:c>
      <x:c r="F170" s="16" t="n">
        <x:v>2033</x:v>
      </x:c>
      <x:c r="G170" s="16" t="n">
        <x:v>189358.76</x:v>
      </x:c>
      <x:c r="H170" s="16" t="n">
        <x:v>170509.47</x:v>
      </x:c>
      <x:c r="I170" s="16" t="n">
        <x:v>18849.46</x:v>
      </x:c>
      <x:c r="J170" s="16" t="n">
        <x:v>19884.92</x:v>
      </x:c>
      <x:c r="K170" s="16" t="n">
        <x:v>523</x:v>
      </x:c>
      <x:c r="L170" s="16" t="n">
        <x:v>586.25</x:v>
      </x:c>
      <x:c r="M170" s="16" t="n">
        <x:v>527.89</x:v>
      </x:c>
      <x:c r="N170" s="16" t="n">
        <x:v>0.11662061937087718</x:v>
      </x:c>
      <x:c r="O170" s="16" t="n">
        <x:v>0.5552016985138004</x:v>
      </x:c>
    </x:row>
    <x:row r="171">
      <x:c r="A171" s="16" t="str">
        <x:v>All</x:v>
      </x:c>
      <x:c r="B171" s="16" t="str">
        <x:v>Home Office</x:v>
      </x:c>
      <x:c r="C171" s="16" t="str">
        <x:v>2017-05</x:v>
      </x:c>
      <x:c r="D171" s="16" t="n">
        <x:v>938</x:v>
      </x:c>
      <x:c r="E171" s="16" t="n">
        <x:v>307</x:v>
      </x:c>
      <x:c r="F171" s="16" t="n">
        <x:v>1944</x:v>
      </x:c>
      <x:c r="G171" s="16" t="n">
        <x:v>194465.93</x:v>
      </x:c>
      <x:c r="H171" s="16" t="n">
        <x:v>174536.88</x:v>
      </x:c>
      <x:c r="I171" s="16" t="n">
        <x:v>19929.29</x:v>
      </x:c>
      <x:c r="J171" s="16" t="n">
        <x:v>18524.75</x:v>
      </x:c>
      <x:c r="K171" s="16" t="n">
        <x:v>514</x:v>
      </x:c>
      <x:c r="L171" s="16" t="n">
        <x:v>633.44</x:v>
      </x:c>
      <x:c r="M171" s="16" t="n">
        <x:v>568.52</x:v>
      </x:c>
      <x:c r="N171" s="16" t="n">
        <x:v>0.10613659416852186</x:v>
      </x:c>
      <x:c r="O171" s="16" t="n">
        <x:v>0.5479744136460555</x:v>
      </x:c>
    </x:row>
    <x:row r="172">
      <x:c r="A172" s="16" t="str">
        <x:v>All</x:v>
      </x:c>
      <x:c r="B172" s="16" t="str">
        <x:v>Home Office</x:v>
      </x:c>
      <x:c r="C172" s="16" t="str">
        <x:v>2017-06</x:v>
      </x:c>
      <x:c r="D172" s="16" t="n">
        <x:v>963</x:v>
      </x:c>
      <x:c r="E172" s="16" t="n">
        <x:v>320</x:v>
      </x:c>
      <x:c r="F172" s="16" t="n">
        <x:v>2017</x:v>
      </x:c>
      <x:c r="G172" s="16" t="n">
        <x:v>205157.05</x:v>
      </x:c>
      <x:c r="H172" s="16" t="n">
        <x:v>184181.32</x:v>
      </x:c>
      <x:c r="I172" s="16" t="n">
        <x:v>20975.96</x:v>
      </x:c>
      <x:c r="J172" s="16" t="n">
        <x:v>22586.01</x:v>
      </x:c>
      <x:c r="K172" s="16" t="n">
        <x:v>562</x:v>
      </x:c>
      <x:c r="L172" s="16" t="n">
        <x:v>641.12</x:v>
      </x:c>
      <x:c r="M172" s="16" t="n">
        <x:v>575.57</x:v>
      </x:c>
      <x:c r="N172" s="16" t="n">
        <x:v>0.1226292112576889</x:v>
      </x:c>
      <x:c r="O172" s="16" t="n">
        <x:v>0.5835929387331257</x:v>
      </x:c>
    </x:row>
    <x:row r="173">
      <x:c r="A173" s="16" t="str">
        <x:v>All</x:v>
      </x:c>
      <x:c r="B173" s="16" t="str">
        <x:v>Home Office</x:v>
      </x:c>
      <x:c r="C173" s="16" t="str">
        <x:v>2017-07</x:v>
      </x:c>
      <x:c r="D173" s="16" t="n">
        <x:v>887</x:v>
      </x:c>
      <x:c r="E173" s="16" t="n">
        <x:v>304</x:v>
      </x:c>
      <x:c r="F173" s="16" t="n">
        <x:v>1794</x:v>
      </x:c>
      <x:c r="G173" s="16" t="n">
        <x:v>180498.81</x:v>
      </x:c>
      <x:c r="H173" s="16" t="n">
        <x:v>162524.96</x:v>
      </x:c>
      <x:c r="I173" s="16" t="n">
        <x:v>17974.05</x:v>
      </x:c>
      <x:c r="J173" s="16" t="n">
        <x:v>15986.03</x:v>
      </x:c>
      <x:c r="K173" s="16" t="n">
        <x:v>471</x:v>
      </x:c>
      <x:c r="L173" s="16" t="n">
        <x:v>593.75</x:v>
      </x:c>
      <x:c r="M173" s="16" t="n">
        <x:v>534.62</x:v>
      </x:c>
      <x:c r="N173" s="16" t="n">
        <x:v>0.09836046106394981</x:v>
      </x:c>
      <x:c r="O173" s="16" t="n">
        <x:v>0.5310033821871477</x:v>
      </x:c>
    </x:row>
    <x:row r="174">
      <x:c r="A174" s="16" t="str">
        <x:v>All</x:v>
      </x:c>
      <x:c r="B174" s="16" t="str">
        <x:v>Home Office</x:v>
      </x:c>
      <x:c r="C174" s="16" t="str">
        <x:v>2017-08</x:v>
      </x:c>
      <x:c r="D174" s="16" t="n">
        <x:v>906</x:v>
      </x:c>
      <x:c r="E174" s="16" t="n">
        <x:v>309</x:v>
      </x:c>
      <x:c r="F174" s="16" t="n">
        <x:v>1937</x:v>
      </x:c>
      <x:c r="G174" s="16" t="n">
        <x:v>195058.36</x:v>
      </x:c>
      <x:c r="H174" s="16" t="n">
        <x:v>174621.47</x:v>
      </x:c>
      <x:c r="I174" s="16" t="n">
        <x:v>20437.08</x:v>
      </x:c>
      <x:c r="J174" s="16" t="n">
        <x:v>25135.98</x:v>
      </x:c>
      <x:c r="K174" s="16" t="n">
        <x:v>492</x:v>
      </x:c>
      <x:c r="L174" s="16" t="n">
        <x:v>631.26</x:v>
      </x:c>
      <x:c r="M174" s="16" t="n">
        <x:v>565.12</x:v>
      </x:c>
      <x:c r="N174" s="16" t="n">
        <x:v>0.14394552972208974</x:v>
      </x:c>
      <x:c r="O174" s="16" t="n">
        <x:v>0.543046357615894</x:v>
      </x:c>
    </x:row>
    <x:row r="175">
      <x:c r="A175" s="16" t="str">
        <x:v>All</x:v>
      </x:c>
      <x:c r="B175" s="16" t="str">
        <x:v>Home Office</x:v>
      </x:c>
      <x:c r="C175" s="16" t="str">
        <x:v>2017-09</x:v>
      </x:c>
      <x:c r="D175" s="16" t="n">
        <x:v>981</x:v>
      </x:c>
      <x:c r="E175" s="16" t="n">
        <x:v>334</x:v>
      </x:c>
      <x:c r="F175" s="16" t="n">
        <x:v>1932</x:v>
      </x:c>
      <x:c r="G175" s="16" t="n">
        <x:v>214623.05</x:v>
      </x:c>
      <x:c r="H175" s="16" t="n">
        <x:v>192336.49</x:v>
      </x:c>
      <x:c r="I175" s="16" t="n">
        <x:v>22286.76</x:v>
      </x:c>
      <x:c r="J175" s="16" t="n">
        <x:v>23861.87</x:v>
      </x:c>
      <x:c r="K175" s="16" t="n">
        <x:v>542</x:v>
      </x:c>
      <x:c r="L175" s="16" t="n">
        <x:v>642.58</x:v>
      </x:c>
      <x:c r="M175" s="16" t="n">
        <x:v>575.86</x:v>
      </x:c>
      <x:c r="N175" s="16" t="n">
        <x:v>0.12406314579204393</x:v>
      </x:c>
      <x:c r="O175" s="16" t="n">
        <x:v>0.5524974515800204</x:v>
      </x:c>
    </x:row>
    <x:row r="176">
      <x:c r="A176" s="16" t="str">
        <x:v>All</x:v>
      </x:c>
      <x:c r="B176" s="16" t="str">
        <x:v>Home Office</x:v>
      </x:c>
      <x:c r="C176" s="16" t="str">
        <x:v>2017-10</x:v>
      </x:c>
      <x:c r="D176" s="16" t="n">
        <x:v>400</x:v>
      </x:c>
      <x:c r="E176" s="16" t="n">
        <x:v>376</x:v>
      </x:c>
      <x:c r="F176" s="16" t="n">
        <x:v>445</x:v>
      </x:c>
      <x:c r="G176" s="16" t="n">
        <x:v>189221.59</x:v>
      </x:c>
      <x:c r="H176" s="16" t="n">
        <x:v>170207.68</x:v>
      </x:c>
      <x:c r="I176" s="16" t="n">
        <x:v>19014.05</x:v>
      </x:c>
      <x:c r="J176" s="16" t="n">
        <x:v>10908.7</x:v>
      </x:c>
      <x:c r="K176" s="16" t="n">
        <x:v>216</x:v>
      </x:c>
      <x:c r="L176" s="16" t="n">
        <x:v>503.25</x:v>
      </x:c>
      <x:c r="M176" s="16" t="n">
        <x:v>452.68</x:v>
      </x:c>
      <x:c r="N176" s="16" t="n">
        <x:v>0.06409052752496246</x:v>
      </x:c>
      <x:c r="O176" s="16" t="n">
        <x:v>0.54</x:v>
      </x:c>
    </x:row>
    <x:row r="177">
      <x:c r="A177" s="16" t="str">
        <x:v>All</x:v>
      </x:c>
      <x:c r="B177" s="16" t="str">
        <x:v>Home Office</x:v>
      </x:c>
      <x:c r="C177" s="16" t="str">
        <x:v>2017-11</x:v>
      </x:c>
      <x:c r="D177" s="16" t="n">
        <x:v>343</x:v>
      </x:c>
      <x:c r="E177" s="16" t="n">
        <x:v>343</x:v>
      </x:c>
      <x:c r="F177" s="16" t="n">
        <x:v>343</x:v>
      </x:c>
      <x:c r="G177" s="16" t="n">
        <x:v>98909.5</x:v>
      </x:c>
      <x:c r="H177" s="16" t="n">
        <x:v>88762.92</x:v>
      </x:c>
      <x:c r="I177" s="16" t="n">
        <x:v>10146.71</x:v>
      </x:c>
      <x:c r="J177" s="16" t="n">
        <x:v>9659.76</x:v>
      </x:c>
      <x:c r="K177" s="16" t="n">
        <x:v>206</x:v>
      </x:c>
      <x:c r="L177" s="16" t="n">
        <x:v>288.37</x:v>
      </x:c>
      <x:c r="M177" s="16" t="n">
        <x:v>258.78</x:v>
      </x:c>
      <x:c r="N177" s="16" t="n">
        <x:v>0.10882652350778907</x:v>
      </x:c>
      <x:c r="O177" s="16" t="n">
        <x:v>0.6005830903790087</x:v>
      </x:c>
    </x:row>
    <x:row r="178">
      <x:c r="A178" s="16" t="str">
        <x:v>All</x:v>
      </x:c>
      <x:c r="B178" s="16" t="str">
        <x:v>Home Office</x:v>
      </x:c>
      <x:c r="C178" s="16" t="str">
        <x:v>2017-12</x:v>
      </x:c>
      <x:c r="D178" s="16" t="n">
        <x:v>367</x:v>
      </x:c>
      <x:c r="E178" s="16" t="n">
        <x:v>367</x:v>
      </x:c>
      <x:c r="F178" s="16" t="n">
        <x:v>367</x:v>
      </x:c>
      <x:c r="G178" s="16" t="n">
        <x:v>72829.7</x:v>
      </x:c>
      <x:c r="H178" s="16" t="n">
        <x:v>65504.84</x:v>
      </x:c>
      <x:c r="I178" s="16" t="n">
        <x:v>7325.08</x:v>
      </x:c>
      <x:c r="J178" s="16" t="n">
        <x:v>8293.79</x:v>
      </x:c>
      <x:c r="K178" s="16" t="n">
        <x:v>205</x:v>
      </x:c>
      <x:c r="L178" s="16" t="n">
        <x:v>198.45</x:v>
      </x:c>
      <x:c r="M178" s="16" t="n">
        <x:v>178.49</x:v>
      </x:c>
      <x:c r="N178" s="16" t="n">
        <x:v>0.12661339223178011</x:v>
      </x:c>
      <x:c r="O178" s="16" t="n">
        <x:v>0.55858310626703</x:v>
      </x:c>
    </x:row>
    <x:row r="179">
      <x:c r="A179" s="16" t="str">
        <x:v>All</x:v>
      </x:c>
      <x:c r="B179" s="16" t="str">
        <x:v>Home Office</x:v>
      </x:c>
      <x:c r="C179" s="16" t="str">
        <x:v>2018-01</x:v>
      </x:c>
      <x:c r="D179" s="16" t="n">
        <x:v>435</x:v>
      </x:c>
      <x:c r="E179" s="16" t="n">
        <x:v>435</x:v>
      </x:c>
      <x:c r="F179" s="16" t="n">
        <x:v>435</x:v>
      </x:c>
      <x:c r="G179" s="16" t="n">
        <x:v>64089.68</x:v>
      </x:c>
      <x:c r="H179" s="16" t="n">
        <x:v>57409.67</x:v>
      </x:c>
      <x:c r="I179" s="16" t="n">
        <x:v>6680.4</x:v>
      </x:c>
      <x:c r="J179" s="16" t="n">
        <x:v>9983.24</x:v>
      </x:c>
      <x:c r="K179" s="16" t="n">
        <x:v>258</x:v>
      </x:c>
      <x:c r="L179" s="16" t="n">
        <x:v>147.33</x:v>
      </x:c>
      <x:c r="M179" s="16" t="n">
        <x:v>131.98</x:v>
      </x:c>
      <x:c r="N179" s="16" t="n">
        <x:v>0.1738947463031925</x:v>
      </x:c>
      <x:c r="O179" s="16" t="n">
        <x:v>0.593103448275862</x:v>
      </x:c>
    </x:row>
    <x:row r="180">
      <x:c r="A180" s="16" t="str">
        <x:v>Africa</x:v>
      </x:c>
      <x:c r="B180" s="16" t="str">
        <x:v>All</x:v>
      </x:c>
      <x:c r="C180" s="16" t="str">
        <x:v>2016-08</x:v>
      </x:c>
      <x:c r="D180" s="16" t="n">
        <x:v>484</x:v>
      </x:c>
      <x:c r="E180" s="16" t="n">
        <x:v>165</x:v>
      </x:c>
      <x:c r="F180" s="16" t="n">
        <x:v>1024</x:v>
      </x:c>
      <x:c r="G180" s="16" t="n">
        <x:v>96740.44</x:v>
      </x:c>
      <x:c r="H180" s="16" t="n">
        <x:v>86992.39</x:v>
      </x:c>
      <x:c r="I180" s="16" t="n">
        <x:v>9748.17</x:v>
      </x:c>
      <x:c r="J180" s="16" t="n">
        <x:v>8755.8</x:v>
      </x:c>
      <x:c r="K180" s="16" t="n">
        <x:v>259</x:v>
      </x:c>
      <x:c r="L180" s="16" t="n">
        <x:v>586.31</x:v>
      </x:c>
      <x:c r="M180" s="16" t="n">
        <x:v>527.23</x:v>
      </x:c>
      <x:c r="N180" s="16" t="n">
        <x:v>0.10065018330913772</x:v>
      </x:c>
      <x:c r="O180" s="16" t="n">
        <x:v>0.5351239669421488</x:v>
      </x:c>
    </x:row>
    <x:row r="181">
      <x:c r="A181" s="16" t="str">
        <x:v>Africa</x:v>
      </x:c>
      <x:c r="B181" s="16" t="str">
        <x:v>All</x:v>
      </x:c>
      <x:c r="C181" s="16" t="str">
        <x:v>2016-09</x:v>
      </x:c>
      <x:c r="D181" s="16" t="n">
        <x:v>2587</x:v>
      </x:c>
      <x:c r="E181" s="16" t="n">
        <x:v>869</x:v>
      </x:c>
      <x:c r="F181" s="16" t="n">
        <x:v>5640</x:v>
      </x:c>
      <x:c r="G181" s="16" t="n">
        <x:v>507614.65</x:v>
      </x:c>
      <x:c r="H181" s="16" t="n">
        <x:v>455935.22</x:v>
      </x:c>
      <x:c r="I181" s="16" t="n">
        <x:v>51680.03</x:v>
      </x:c>
      <x:c r="J181" s="16" t="n">
        <x:v>65462.68</x:v>
      </x:c>
      <x:c r="K181" s="16" t="n">
        <x:v>1370</x:v>
      </x:c>
      <x:c r="L181" s="16" t="n">
        <x:v>584.14</x:v>
      </x:c>
      <x:c r="M181" s="16" t="n">
        <x:v>524.67</x:v>
      </x:c>
      <x:c r="N181" s="16" t="n">
        <x:v>0.143578905792801</x:v>
      </x:c>
      <x:c r="O181" s="16" t="n">
        <x:v>0.5295709315809818</x:v>
      </x:c>
    </x:row>
    <x:row r="182">
      <x:c r="A182" s="16" t="str">
        <x:v>Africa</x:v>
      </x:c>
      <x:c r="B182" s="16" t="str">
        <x:v>All</x:v>
      </x:c>
      <x:c r="C182" s="16" t="str">
        <x:v>2016-10</x:v>
      </x:c>
      <x:c r="D182" s="16" t="n">
        <x:v>2383</x:v>
      </x:c>
      <x:c r="E182" s="16" t="n">
        <x:v>784</x:v>
      </x:c>
      <x:c r="F182" s="16" t="n">
        <x:v>5304</x:v>
      </x:c>
      <x:c r="G182" s="16" t="n">
        <x:v>462024.88</x:v>
      </x:c>
      <x:c r="H182" s="16" t="n">
        <x:v>415576.67</x:v>
      </x:c>
      <x:c r="I182" s="16" t="n">
        <x:v>46448.73</x:v>
      </x:c>
      <x:c r="J182" s="16" t="n">
        <x:v>49135.42</x:v>
      </x:c>
      <x:c r="K182" s="16" t="n">
        <x:v>1267</x:v>
      </x:c>
      <x:c r="L182" s="16" t="n">
        <x:v>589.32</x:v>
      </x:c>
      <x:c r="M182" s="16" t="n">
        <x:v>530.07</x:v>
      </x:c>
      <x:c r="N182" s="16" t="n">
        <x:v>0.11823430800386364</x:v>
      </x:c>
      <x:c r="O182" s="16" t="n">
        <x:v>0.5316827528325639</x:v>
      </x:c>
    </x:row>
    <x:row r="183">
      <x:c r="A183" s="16" t="str">
        <x:v>Africa</x:v>
      </x:c>
      <x:c r="B183" s="16" t="str">
        <x:v>All</x:v>
      </x:c>
      <x:c r="C183" s="16" t="str">
        <x:v>2016-11</x:v>
      </x:c>
      <x:c r="D183" s="16" t="n">
        <x:v>2426</x:v>
      </x:c>
      <x:c r="E183" s="16" t="n">
        <x:v>807</x:v>
      </x:c>
      <x:c r="F183" s="16" t="n">
        <x:v>5333</x:v>
      </x:c>
      <x:c r="G183" s="16" t="n">
        <x:v>492548.64</x:v>
      </x:c>
      <x:c r="H183" s="16" t="n">
        <x:v>442795.2</x:v>
      </x:c>
      <x:c r="I183" s="16" t="n">
        <x:v>49754.07</x:v>
      </x:c>
      <x:c r="J183" s="16" t="n">
        <x:v>48290.04</x:v>
      </x:c>
      <x:c r="K183" s="16" t="n">
        <x:v>1329</x:v>
      </x:c>
      <x:c r="L183" s="16" t="n">
        <x:v>610.35</x:v>
      </x:c>
      <x:c r="M183" s="16" t="n">
        <x:v>548.69</x:v>
      </x:c>
      <x:c r="N183" s="16" t="n">
        <x:v>0.10905727975371006</x:v>
      </x:c>
      <x:c r="O183" s="16" t="n">
        <x:v>0.5478153338829349</x:v>
      </x:c>
    </x:row>
    <x:row r="184">
      <x:c r="A184" s="16" t="str">
        <x:v>Africa</x:v>
      </x:c>
      <x:c r="B184" s="16" t="str">
        <x:v>All</x:v>
      </x:c>
      <x:c r="C184" s="16" t="str">
        <x:v>2016-12</x:v>
      </x:c>
      <x:c r="D184" s="16" t="n">
        <x:v>2476</x:v>
      </x:c>
      <x:c r="E184" s="16" t="n">
        <x:v>820</x:v>
      </x:c>
      <x:c r="F184" s="16" t="n">
        <x:v>5507</x:v>
      </x:c>
      <x:c r="G184" s="16" t="n">
        <x:v>487694.11</x:v>
      </x:c>
      <x:c r="H184" s="16" t="n">
        <x:v>436541.5</x:v>
      </x:c>
      <x:c r="I184" s="16" t="n">
        <x:v>51153.33</x:v>
      </x:c>
      <x:c r="J184" s="16" t="n">
        <x:v>50254.69</x:v>
      </x:c>
      <x:c r="K184" s="16" t="n">
        <x:v>1483</x:v>
      </x:c>
      <x:c r="L184" s="16" t="n">
        <x:v>594.75</x:v>
      </x:c>
      <x:c r="M184" s="16" t="n">
        <x:v>532.37</x:v>
      </x:c>
      <x:c r="N184" s="16" t="n">
        <x:v>0.11512007449463568</x:v>
      </x:c>
      <x:c r="O184" s="16" t="n">
        <x:v>0.5989499192245558</x:v>
      </x:c>
    </x:row>
    <x:row r="185">
      <x:c r="A185" s="16" t="str">
        <x:v>Africa</x:v>
      </x:c>
      <x:c r="B185" s="16" t="str">
        <x:v>All</x:v>
      </x:c>
      <x:c r="C185" s="16" t="str">
        <x:v>2017-01</x:v>
      </x:c>
      <x:c r="D185" s="16" t="n">
        <x:v>1258</x:v>
      </x:c>
      <x:c r="E185" s="16" t="n">
        <x:v>409</x:v>
      </x:c>
      <x:c r="F185" s="16" t="n">
        <x:v>2795</x:v>
      </x:c>
      <x:c r="G185" s="16" t="n">
        <x:v>247830.16</x:v>
      </x:c>
      <x:c r="H185" s="16" t="n">
        <x:v>223838.39</x:v>
      </x:c>
      <x:c r="I185" s="16" t="n">
        <x:v>23992.04</x:v>
      </x:c>
      <x:c r="J185" s="16" t="n">
        <x:v>30172.55</x:v>
      </x:c>
      <x:c r="K185" s="16" t="n">
        <x:v>632</x:v>
      </x:c>
      <x:c r="L185" s="16" t="n">
        <x:v>605.94</x:v>
      </x:c>
      <x:c r="M185" s="16" t="n">
        <x:v>547.28</x:v>
      </x:c>
      <x:c r="N185" s="16" t="n">
        <x:v>0.13479613572988974</x:v>
      </x:c>
      <x:c r="O185" s="16" t="n">
        <x:v>0.5023847376788553</x:v>
      </x:c>
    </x:row>
    <x:row r="186">
      <x:c r="A186" s="16" t="str">
        <x:v>Africa</x:v>
      </x:c>
      <x:c r="B186" s="16" t="str">
        <x:v>Consumer</x:v>
      </x:c>
      <x:c r="C186" s="16" t="str">
        <x:v>2016-08</x:v>
      </x:c>
      <x:c r="D186" s="16" t="n">
        <x:v>251</x:v>
      </x:c>
      <x:c r="E186" s="16" t="n">
        <x:v>88</x:v>
      </x:c>
      <x:c r="F186" s="16" t="n">
        <x:v>560</x:v>
      </x:c>
      <x:c r="G186" s="16" t="n">
        <x:v>50271.28</x:v>
      </x:c>
      <x:c r="H186" s="16" t="n">
        <x:v>44999.18</x:v>
      </x:c>
      <x:c r="I186" s="16" t="n">
        <x:v>5272.16</x:v>
      </x:c>
      <x:c r="J186" s="16" t="n">
        <x:v>4998.26</x:v>
      </x:c>
      <x:c r="K186" s="16" t="n">
        <x:v>138</x:v>
      </x:c>
      <x:c r="L186" s="16" t="n">
        <x:v>571.26</x:v>
      </x:c>
      <x:c r="M186" s="16" t="n">
        <x:v>511.35</x:v>
      </x:c>
      <x:c r="N186" s="16" t="n">
        <x:v>0.11107446846809209</x:v>
      </x:c>
      <x:c r="O186" s="16" t="n">
        <x:v>0.549800796812749</x:v>
      </x:c>
    </x:row>
    <x:row r="187">
      <x:c r="A187" s="16" t="str">
        <x:v>Africa</x:v>
      </x:c>
      <x:c r="B187" s="16" t="str">
        <x:v>Consumer</x:v>
      </x:c>
      <x:c r="C187" s="16" t="str">
        <x:v>2016-09</x:v>
      </x:c>
      <x:c r="D187" s="16" t="n">
        <x:v>1392</x:v>
      </x:c>
      <x:c r="E187" s="16" t="n">
        <x:v>469</x:v>
      </x:c>
      <x:c r="F187" s="16" t="n">
        <x:v>3075</x:v>
      </x:c>
      <x:c r="G187" s="16" t="n">
        <x:v>273375.65</x:v>
      </x:c>
      <x:c r="H187" s="16" t="n">
        <x:v>245113.88</x:v>
      </x:c>
      <x:c r="I187" s="16" t="n">
        <x:v>28262.07</x:v>
      </x:c>
      <x:c r="J187" s="16" t="n">
        <x:v>36709.44</x:v>
      </x:c>
      <x:c r="K187" s="16" t="n">
        <x:v>743</x:v>
      </x:c>
      <x:c r="L187" s="16" t="n">
        <x:v>582.89</x:v>
      </x:c>
      <x:c r="M187" s="16" t="n">
        <x:v>522.63</x:v>
      </x:c>
      <x:c r="N187" s="16" t="n">
        <x:v>0.1497648358387538</x:v>
      </x:c>
      <x:c r="O187" s="16" t="n">
        <x:v>0.5337643678160919</x:v>
      </x:c>
    </x:row>
    <x:row r="188">
      <x:c r="A188" s="16" t="str">
        <x:v>Africa</x:v>
      </x:c>
      <x:c r="B188" s="16" t="str">
        <x:v>Consumer</x:v>
      </x:c>
      <x:c r="C188" s="16" t="str">
        <x:v>2016-10</x:v>
      </x:c>
      <x:c r="D188" s="16" t="n">
        <x:v>1202</x:v>
      </x:c>
      <x:c r="E188" s="16" t="n">
        <x:v>399</x:v>
      </x:c>
      <x:c r="F188" s="16" t="n">
        <x:v>2625</x:v>
      </x:c>
      <x:c r="G188" s="16" t="n">
        <x:v>235078.87</x:v>
      </x:c>
      <x:c r="H188" s="16" t="n">
        <x:v>211646.93</x:v>
      </x:c>
      <x:c r="I188" s="16" t="n">
        <x:v>23432.21</x:v>
      </x:c>
      <x:c r="J188" s="16" t="n">
        <x:v>25510.33</x:v>
      </x:c>
      <x:c r="K188" s="16" t="n">
        <x:v>611</x:v>
      </x:c>
      <x:c r="L188" s="16" t="n">
        <x:v>589.17</x:v>
      </x:c>
      <x:c r="M188" s="16" t="n">
        <x:v>530.44</x:v>
      </x:c>
      <x:c r="N188" s="16" t="n">
        <x:v>0.12053248303672537</x:v>
      </x:c>
      <x:c r="O188" s="16" t="n">
        <x:v>0.5083194675540765</x:v>
      </x:c>
    </x:row>
    <x:row r="189">
      <x:c r="A189" s="16" t="str">
        <x:v>Africa</x:v>
      </x:c>
      <x:c r="B189" s="16" t="str">
        <x:v>Consumer</x:v>
      </x:c>
      <x:c r="C189" s="16" t="str">
        <x:v>2016-11</x:v>
      </x:c>
      <x:c r="D189" s="16" t="n">
        <x:v>1240</x:v>
      </x:c>
      <x:c r="E189" s="16" t="n">
        <x:v>415</x:v>
      </x:c>
      <x:c r="F189" s="16" t="n">
        <x:v>2707</x:v>
      </x:c>
      <x:c r="G189" s="16" t="n">
        <x:v>253115.84</x:v>
      </x:c>
      <x:c r="H189" s="16" t="n">
        <x:v>228217</x:v>
      </x:c>
      <x:c r="I189" s="16" t="n">
        <x:v>24899.08</x:v>
      </x:c>
      <x:c r="J189" s="16" t="n">
        <x:v>26451.37</x:v>
      </x:c>
      <x:c r="K189" s="16" t="n">
        <x:v>680</x:v>
      </x:c>
      <x:c r="L189" s="16" t="n">
        <x:v>609.92</x:v>
      </x:c>
      <x:c r="M189" s="16" t="n">
        <x:v>549.92</x:v>
      </x:c>
      <x:c r="N189" s="16" t="n">
        <x:v>0.11590446811587217</x:v>
      </x:c>
      <x:c r="O189" s="16" t="n">
        <x:v>0.5483870967741935</x:v>
      </x:c>
    </x:row>
    <x:row r="190">
      <x:c r="A190" s="16" t="str">
        <x:v>Africa</x:v>
      </x:c>
      <x:c r="B190" s="16" t="str">
        <x:v>Consumer</x:v>
      </x:c>
      <x:c r="C190" s="16" t="str">
        <x:v>2016-12</x:v>
      </x:c>
      <x:c r="D190" s="16" t="n">
        <x:v>1305</x:v>
      </x:c>
      <x:c r="E190" s="16" t="n">
        <x:v>438</x:v>
      </x:c>
      <x:c r="F190" s="16" t="n">
        <x:v>2908</x:v>
      </x:c>
      <x:c r="G190" s="16" t="n">
        <x:v>253412.17</x:v>
      </x:c>
      <x:c r="H190" s="16" t="n">
        <x:v>226725.81</x:v>
      </x:c>
      <x:c r="I190" s="16" t="n">
        <x:v>26686.75</x:v>
      </x:c>
      <x:c r="J190" s="16" t="n">
        <x:v>24036.61</x:v>
      </x:c>
      <x:c r="K190" s="16" t="n">
        <x:v>806</x:v>
      </x:c>
      <x:c r="L190" s="16" t="n">
        <x:v>578.57</x:v>
      </x:c>
      <x:c r="M190" s="16" t="n">
        <x:v>517.64</x:v>
      </x:c>
      <x:c r="N190" s="16" t="n">
        <x:v>0.1060162052128075</x:v>
      </x:c>
      <x:c r="O190" s="16" t="n">
        <x:v>0.617624521072797</x:v>
      </x:c>
    </x:row>
    <x:row r="191">
      <x:c r="A191" s="16" t="str">
        <x:v>Africa</x:v>
      </x:c>
      <x:c r="B191" s="16" t="str">
        <x:v>Consumer</x:v>
      </x:c>
      <x:c r="C191" s="16" t="str">
        <x:v>2017-01</x:v>
      </x:c>
      <x:c r="D191" s="16" t="n">
        <x:v>617</x:v>
      </x:c>
      <x:c r="E191" s="16" t="n">
        <x:v>200</x:v>
      </x:c>
      <x:c r="F191" s="16" t="n">
        <x:v>1356</x:v>
      </x:c>
      <x:c r="G191" s="16" t="n">
        <x:v>122180.26</x:v>
      </x:c>
      <x:c r="H191" s="16" t="n">
        <x:v>110107.49</x:v>
      </x:c>
      <x:c r="I191" s="16" t="n">
        <x:v>12072.93</x:v>
      </x:c>
      <x:c r="J191" s="16" t="n">
        <x:v>11894.88</x:v>
      </x:c>
      <x:c r="K191" s="16" t="n">
        <x:v>327</x:v>
      </x:c>
      <x:c r="L191" s="16" t="n">
        <x:v>610.9</x:v>
      </x:c>
      <x:c r="M191" s="16" t="n">
        <x:v>550.54</x:v>
      </x:c>
      <x:c r="N191" s="16" t="n">
        <x:v>0.10802970806073228</x:v>
      </x:c>
      <x:c r="O191" s="16" t="n">
        <x:v>0.5299837925445705</x:v>
      </x:c>
    </x:row>
    <x:row r="192">
      <x:c r="A192" s="16" t="str">
        <x:v>Africa</x:v>
      </x:c>
      <x:c r="B192" s="16" t="str">
        <x:v>Corporate</x:v>
      </x:c>
      <x:c r="C192" s="16" t="str">
        <x:v>2016-08</x:v>
      </x:c>
      <x:c r="D192" s="16" t="n">
        <x:v>162</x:v>
      </x:c>
      <x:c r="E192" s="16" t="n">
        <x:v>54</x:v>
      </x:c>
      <x:c r="F192" s="16" t="n">
        <x:v>320</x:v>
      </x:c>
      <x:c r="G192" s="16" t="n">
        <x:v>32331.53</x:v>
      </x:c>
      <x:c r="H192" s="16" t="n">
        <x:v>29326.83</x:v>
      </x:c>
      <x:c r="I192" s="16" t="n">
        <x:v>3004.72</x:v>
      </x:c>
      <x:c r="J192" s="16" t="n">
        <x:v>1503.44</x:v>
      </x:c>
      <x:c r="K192" s="16" t="n">
        <x:v>87</x:v>
      </x:c>
      <x:c r="L192" s="16" t="n">
        <x:v>598.73</x:v>
      </x:c>
      <x:c r="M192" s="16" t="n">
        <x:v>543.09</x:v>
      </x:c>
      <x:c r="N192" s="16" t="n">
        <x:v>0.051265002047613056</x:v>
      </x:c>
      <x:c r="O192" s="16" t="n">
        <x:v>0.5370370370370371</x:v>
      </x:c>
    </x:row>
    <x:row r="193">
      <x:c r="A193" s="16" t="str">
        <x:v>Africa</x:v>
      </x:c>
      <x:c r="B193" s="16" t="str">
        <x:v>Corporate</x:v>
      </x:c>
      <x:c r="C193" s="16" t="str">
        <x:v>2016-09</x:v>
      </x:c>
      <x:c r="D193" s="16" t="n">
        <x:v>737</x:v>
      </x:c>
      <x:c r="E193" s="16" t="n">
        <x:v>247</x:v>
      </x:c>
      <x:c r="F193" s="16" t="n">
        <x:v>1583</x:v>
      </x:c>
      <x:c r="G193" s="16" t="n">
        <x:v>142428.69</x:v>
      </x:c>
      <x:c r="H193" s="16" t="n">
        <x:v>128196.29</x:v>
      </x:c>
      <x:c r="I193" s="16" t="n">
        <x:v>14232.59</x:v>
      </x:c>
      <x:c r="J193" s="16" t="n">
        <x:v>21439.15</x:v>
      </x:c>
      <x:c r="K193" s="16" t="n">
        <x:v>383</x:v>
      </x:c>
      <x:c r="L193" s="16" t="n">
        <x:v>576.63</x:v>
      </x:c>
      <x:c r="M193" s="16" t="n">
        <x:v>519.01</x:v>
      </x:c>
      <x:c r="N193" s="16" t="n">
        <x:v>0.1672368989773417</x:v>
      </x:c>
      <x:c r="O193" s="16" t="n">
        <x:v>0.519674355495251</x:v>
      </x:c>
    </x:row>
    <x:row r="194">
      <x:c r="A194" s="16" t="str">
        <x:v>Africa</x:v>
      </x:c>
      <x:c r="B194" s="16" t="str">
        <x:v>Corporate</x:v>
      </x:c>
      <x:c r="C194" s="16" t="str">
        <x:v>2016-10</x:v>
      </x:c>
      <x:c r="D194" s="16" t="n">
        <x:v>772</x:v>
      </x:c>
      <x:c r="E194" s="16" t="n">
        <x:v>249</x:v>
      </x:c>
      <x:c r="F194" s="16" t="n">
        <x:v>1734</x:v>
      </x:c>
      <x:c r="G194" s="16" t="n">
        <x:v>148695.75</x:v>
      </x:c>
      <x:c r="H194" s="16" t="n">
        <x:v>133847.92</x:v>
      </x:c>
      <x:c r="I194" s="16" t="n">
        <x:v>14848.01</x:v>
      </x:c>
      <x:c r="J194" s="16" t="n">
        <x:v>14473.41</x:v>
      </x:c>
      <x:c r="K194" s="16" t="n">
        <x:v>434</x:v>
      </x:c>
      <x:c r="L194" s="16" t="n">
        <x:v>597.17</x:v>
      </x:c>
      <x:c r="M194" s="16" t="n">
        <x:v>537.54</x:v>
      </x:c>
      <x:c r="N194" s="16" t="n">
        <x:v>0.10813324555211615</x:v>
      </x:c>
      <x:c r="O194" s="16" t="n">
        <x:v>0.5621761658031088</x:v>
      </x:c>
    </x:row>
    <x:row r="195">
      <x:c r="A195" s="16" t="str">
        <x:v>Africa</x:v>
      </x:c>
      <x:c r="B195" s="16" t="str">
        <x:v>Corporate</x:v>
      </x:c>
      <x:c r="C195" s="16" t="str">
        <x:v>2016-11</x:v>
      </x:c>
      <x:c r="D195" s="16" t="n">
        <x:v>719</x:v>
      </x:c>
      <x:c r="E195" s="16" t="n">
        <x:v>241</x:v>
      </x:c>
      <x:c r="F195" s="16" t="n">
        <x:v>1533</x:v>
      </x:c>
      <x:c r="G195" s="16" t="n">
        <x:v>145925.41</x:v>
      </x:c>
      <x:c r="H195" s="16" t="n">
        <x:v>130744.39</x:v>
      </x:c>
      <x:c r="I195" s="16" t="n">
        <x:v>15181.24</x:v>
      </x:c>
      <x:c r="J195" s="16" t="n">
        <x:v>12325.7</x:v>
      </x:c>
      <x:c r="K195" s="16" t="n">
        <x:v>407</x:v>
      </x:c>
      <x:c r="L195" s="16" t="n">
        <x:v>605.5</x:v>
      </x:c>
      <x:c r="M195" s="16" t="n">
        <x:v>542.51</x:v>
      </x:c>
      <x:c r="N195" s="16" t="n">
        <x:v>0.0942732609789223</x:v>
      </x:c>
      <x:c r="O195" s="16" t="n">
        <x:v>0.5660639777468707</x:v>
      </x:c>
    </x:row>
    <x:row r="196">
      <x:c r="A196" s="16" t="str">
        <x:v>Africa</x:v>
      </x:c>
      <x:c r="B196" s="16" t="str">
        <x:v>Corporate</x:v>
      </x:c>
      <x:c r="C196" s="16" t="str">
        <x:v>2016-12</x:v>
      </x:c>
      <x:c r="D196" s="16" t="n">
        <x:v>750</x:v>
      </x:c>
      <x:c r="E196" s="16" t="n">
        <x:v>249</x:v>
      </x:c>
      <x:c r="F196" s="16" t="n">
        <x:v>1661</x:v>
      </x:c>
      <x:c r="G196" s="16" t="n">
        <x:v>152318.01</x:v>
      </x:c>
      <x:c r="H196" s="16" t="n">
        <x:v>136391.51</x:v>
      </x:c>
      <x:c r="I196" s="16" t="n">
        <x:v>15926.65</x:v>
      </x:c>
      <x:c r="J196" s="16" t="n">
        <x:v>16106.43</x:v>
      </x:c>
      <x:c r="K196" s="16" t="n">
        <x:v>426</x:v>
      </x:c>
      <x:c r="L196" s="16" t="n">
        <x:v>611.72</x:v>
      </x:c>
      <x:c r="M196" s="16" t="n">
        <x:v>547.76</x:v>
      </x:c>
      <x:c r="N196" s="16" t="n">
        <x:v>0.11808968168179969</x:v>
      </x:c>
      <x:c r="O196" s="16" t="n">
        <x:v>0.568</x:v>
      </x:c>
    </x:row>
    <x:row r="197">
      <x:c r="A197" s="16" t="str">
        <x:v>Africa</x:v>
      </x:c>
      <x:c r="B197" s="16" t="str">
        <x:v>Corporate</x:v>
      </x:c>
      <x:c r="C197" s="16" t="str">
        <x:v>2017-01</x:v>
      </x:c>
      <x:c r="D197" s="16" t="n">
        <x:v>388</x:v>
      </x:c>
      <x:c r="E197" s="16" t="n">
        <x:v>127</x:v>
      </x:c>
      <x:c r="F197" s="16" t="n">
        <x:v>840</x:v>
      </x:c>
      <x:c r="G197" s="16" t="n">
        <x:v>78058.11</x:v>
      </x:c>
      <x:c r="H197" s="16" t="n">
        <x:v>70756.92</x:v>
      </x:c>
      <x:c r="I197" s="16" t="n">
        <x:v>7301.24</x:v>
      </x:c>
      <x:c r="J197" s="16" t="n">
        <x:v>9913.24</x:v>
      </x:c>
      <x:c r="K197" s="16" t="n">
        <x:v>206</x:v>
      </x:c>
      <x:c r="L197" s="16" t="n">
        <x:v>614.63</x:v>
      </x:c>
      <x:c r="M197" s="16" t="n">
        <x:v>557.14</x:v>
      </x:c>
      <x:c r="N197" s="16" t="n">
        <x:v>0.14010276309370165</x:v>
      </x:c>
      <x:c r="O197" s="16" t="n">
        <x:v>0.5309278350515464</x:v>
      </x:c>
    </x:row>
    <x:row r="198">
      <x:c r="A198" s="16" t="str">
        <x:v>Africa</x:v>
      </x:c>
      <x:c r="B198" s="16" t="str">
        <x:v>Home Office</x:v>
      </x:c>
      <x:c r="C198" s="16" t="str">
        <x:v>2016-08</x:v>
      </x:c>
      <x:c r="D198" s="16" t="n">
        <x:v>71</x:v>
      </x:c>
      <x:c r="E198" s="16" t="n">
        <x:v>23</x:v>
      </x:c>
      <x:c r="F198" s="16" t="n">
        <x:v>144</x:v>
      </x:c>
      <x:c r="G198" s="16" t="n">
        <x:v>14137.63</x:v>
      </x:c>
      <x:c r="H198" s="16" t="n">
        <x:v>12666.38</x:v>
      </x:c>
      <x:c r="I198" s="16" t="n">
        <x:v>1471.29</x:v>
      </x:c>
      <x:c r="J198" s="16" t="n">
        <x:v>2254.1</x:v>
      </x:c>
      <x:c r="K198" s="16" t="n">
        <x:v>34</x:v>
      </x:c>
      <x:c r="L198" s="16" t="n">
        <x:v>614.68</x:v>
      </x:c>
      <x:c r="M198" s="16" t="n">
        <x:v>550.71</x:v>
      </x:c>
      <x:c r="N198" s="16" t="n">
        <x:v>0.17795929065763066</x:v>
      </x:c>
      <x:c r="O198" s="16" t="n">
        <x:v>0.4788732394366197</x:v>
      </x:c>
    </x:row>
    <x:row r="199">
      <x:c r="A199" s="16" t="str">
        <x:v>Africa</x:v>
      </x:c>
      <x:c r="B199" s="16" t="str">
        <x:v>Home Office</x:v>
      </x:c>
      <x:c r="C199" s="16" t="str">
        <x:v>2016-09</x:v>
      </x:c>
      <x:c r="D199" s="16" t="n">
        <x:v>458</x:v>
      </x:c>
      <x:c r="E199" s="16" t="n">
        <x:v>153</x:v>
      </x:c>
      <x:c r="F199" s="16" t="n">
        <x:v>982</x:v>
      </x:c>
      <x:c r="G199" s="16" t="n">
        <x:v>91810.31</x:v>
      </x:c>
      <x:c r="H199" s="16" t="n">
        <x:v>82625.05</x:v>
      </x:c>
      <x:c r="I199" s="16" t="n">
        <x:v>9185.37</x:v>
      </x:c>
      <x:c r="J199" s="16" t="n">
        <x:v>7314.09</x:v>
      </x:c>
      <x:c r="K199" s="16" t="n">
        <x:v>244</x:v>
      </x:c>
      <x:c r="L199" s="16" t="n">
        <x:v>600.07</x:v>
      </x:c>
      <x:c r="M199" s="16" t="n">
        <x:v>540.03</x:v>
      </x:c>
      <x:c r="N199" s="16" t="n">
        <x:v>0.08852145929109877</x:v>
      </x:c>
      <x:c r="O199" s="16" t="n">
        <x:v>0.5327510917030568</x:v>
      </x:c>
    </x:row>
    <x:row r="200">
      <x:c r="A200" s="16" t="str">
        <x:v>Africa</x:v>
      </x:c>
      <x:c r="B200" s="16" t="str">
        <x:v>Home Office</x:v>
      </x:c>
      <x:c r="C200" s="16" t="str">
        <x:v>2016-10</x:v>
      </x:c>
      <x:c r="D200" s="16" t="n">
        <x:v>409</x:v>
      </x:c>
      <x:c r="E200" s="16" t="n">
        <x:v>136</x:v>
      </x:c>
      <x:c r="F200" s="16" t="n">
        <x:v>945</x:v>
      </x:c>
      <x:c r="G200" s="16" t="n">
        <x:v>78250.26</x:v>
      </x:c>
      <x:c r="H200" s="16" t="n">
        <x:v>70081.82</x:v>
      </x:c>
      <x:c r="I200" s="16" t="n">
        <x:v>8168.51</x:v>
      </x:c>
      <x:c r="J200" s="16" t="n">
        <x:v>9151.68</x:v>
      </x:c>
      <x:c r="K200" s="16" t="n">
        <x:v>222</x:v>
      </x:c>
      <x:c r="L200" s="16" t="n">
        <x:v>575.37</x:v>
      </x:c>
      <x:c r="M200" s="16" t="n">
        <x:v>515.31</x:v>
      </x:c>
      <x:c r="N200" s="16" t="n">
        <x:v>0.13058564974482684</x:v>
      </x:c>
      <x:c r="O200" s="16" t="n">
        <x:v>0.5427872860635696</x:v>
      </x:c>
    </x:row>
    <x:row r="201">
      <x:c r="A201" s="16" t="str">
        <x:v>Africa</x:v>
      </x:c>
      <x:c r="B201" s="16" t="str">
        <x:v>Home Office</x:v>
      </x:c>
      <x:c r="C201" s="16" t="str">
        <x:v>2016-11</x:v>
      </x:c>
      <x:c r="D201" s="16" t="n">
        <x:v>467</x:v>
      </x:c>
      <x:c r="E201" s="16" t="n">
        <x:v>151</x:v>
      </x:c>
      <x:c r="F201" s="16" t="n">
        <x:v>1093</x:v>
      </x:c>
      <x:c r="G201" s="16" t="n">
        <x:v>93507.39</x:v>
      </x:c>
      <x:c r="H201" s="16" t="n">
        <x:v>83833.81</x:v>
      </x:c>
      <x:c r="I201" s="16" t="n">
        <x:v>9673.75</x:v>
      </x:c>
      <x:c r="J201" s="16" t="n">
        <x:v>9512.97</x:v>
      </x:c>
      <x:c r="K201" s="16" t="n">
        <x:v>242</x:v>
      </x:c>
      <x:c r="L201" s="16" t="n">
        <x:v>619.25</x:v>
      </x:c>
      <x:c r="M201" s="16" t="n">
        <x:v>555.19</x:v>
      </x:c>
      <x:c r="N201" s="16" t="n">
        <x:v>0.11347414605157513</x:v>
      </x:c>
      <x:c r="O201" s="16" t="n">
        <x:v>0.5182012847965739</x:v>
      </x:c>
    </x:row>
    <x:row r="202">
      <x:c r="A202" s="16" t="str">
        <x:v>Africa</x:v>
      </x:c>
      <x:c r="B202" s="16" t="str">
        <x:v>Home Office</x:v>
      </x:c>
      <x:c r="C202" s="16" t="str">
        <x:v>2016-12</x:v>
      </x:c>
      <x:c r="D202" s="16" t="n">
        <x:v>421</x:v>
      </x:c>
      <x:c r="E202" s="16" t="n">
        <x:v>133</x:v>
      </x:c>
      <x:c r="F202" s="16" t="n">
        <x:v>938</x:v>
      </x:c>
      <x:c r="G202" s="16" t="n">
        <x:v>81963.93</x:v>
      </x:c>
      <x:c r="H202" s="16" t="n">
        <x:v>73424.18</x:v>
      </x:c>
      <x:c r="I202" s="16" t="n">
        <x:v>8539.93</x:v>
      </x:c>
      <x:c r="J202" s="16" t="n">
        <x:v>10111.65</x:v>
      </x:c>
      <x:c r="K202" s="16" t="n">
        <x:v>251</x:v>
      </x:c>
      <x:c r="L202" s="16" t="n">
        <x:v>616.27</x:v>
      </x:c>
      <x:c r="M202" s="16" t="n">
        <x:v>552.06</x:v>
      </x:c>
      <x:c r="N202" s="16" t="n">
        <x:v>0.13771553185885083</x:v>
      </x:c>
      <x:c r="O202" s="16" t="n">
        <x:v>0.5961995249406176</x:v>
      </x:c>
    </x:row>
    <x:row r="203">
      <x:c r="A203" s="16" t="str">
        <x:v>Africa</x:v>
      </x:c>
      <x:c r="B203" s="16" t="str">
        <x:v>Home Office</x:v>
      </x:c>
      <x:c r="C203" s="16" t="str">
        <x:v>2017-01</x:v>
      </x:c>
      <x:c r="D203" s="16" t="n">
        <x:v>253</x:v>
      </x:c>
      <x:c r="E203" s="16" t="n">
        <x:v>82</x:v>
      </x:c>
      <x:c r="F203" s="16" t="n">
        <x:v>599</x:v>
      </x:c>
      <x:c r="G203" s="16" t="n">
        <x:v>47591.79</x:v>
      </x:c>
      <x:c r="H203" s="16" t="n">
        <x:v>42973.98</x:v>
      </x:c>
      <x:c r="I203" s="16" t="n">
        <x:v>4617.87</x:v>
      </x:c>
      <x:c r="J203" s="16" t="n">
        <x:v>8364.43</x:v>
      </x:c>
      <x:c r="K203" s="16" t="n">
        <x:v>99</x:v>
      </x:c>
      <x:c r="L203" s="16" t="n">
        <x:v>580.39</x:v>
      </x:c>
      <x:c r="M203" s="16" t="n">
        <x:v>524.07</x:v>
      </x:c>
      <x:c r="N203" s="16" t="n">
        <x:v>0.19463940738093144</x:v>
      </x:c>
      <x:c r="O203" s="16" t="n">
        <x:v>0.391304347826087</x:v>
      </x:c>
    </x:row>
    <x:row r="204">
      <x:c r="A204" s="16" t="str">
        <x:v>Europe</x:v>
      </x:c>
      <x:c r="B204" s="16" t="str">
        <x:v>All</x:v>
      </x:c>
      <x:c r="C204" s="16" t="str">
        <x:v>2015-05</x:v>
      </x:c>
      <x:c r="D204" s="16" t="n">
        <x:v>121</x:v>
      </x:c>
      <x:c r="E204" s="16" t="n">
        <x:v>41</x:v>
      </x:c>
      <x:c r="F204" s="16" t="n">
        <x:v>255</x:v>
      </x:c>
      <x:c r="G204" s="16" t="n">
        <x:v>22606.92</x:v>
      </x:c>
      <x:c r="H204" s="16" t="n">
        <x:v>20231.28</x:v>
      </x:c>
      <x:c r="I204" s="16" t="n">
        <x:v>2375.67</x:v>
      </x:c>
      <x:c r="J204" s="16" t="n">
        <x:v>2957.45</x:v>
      </x:c>
      <x:c r="K204" s="16" t="n">
        <x:v>74</x:v>
      </x:c>
      <x:c r="L204" s="16" t="n">
        <x:v>551.39</x:v>
      </x:c>
      <x:c r="M204" s="16" t="n">
        <x:v>493.45</x:v>
      </x:c>
      <x:c r="N204" s="16" t="n">
        <x:v>0.14618205076495408</x:v>
      </x:c>
      <x:c r="O204" s="16" t="n">
        <x:v>0.6115702479338843</x:v>
      </x:c>
    </x:row>
    <x:row r="205">
      <x:c r="A205" s="16" t="str">
        <x:v>Europe</x:v>
      </x:c>
      <x:c r="B205" s="16" t="str">
        <x:v>All</x:v>
      </x:c>
      <x:c r="C205" s="16" t="str">
        <x:v>2015-06</x:v>
      </x:c>
      <x:c r="D205" s="16" t="n">
        <x:v>5134</x:v>
      </x:c>
      <x:c r="E205" s="16" t="n">
        <x:v>1725</x:v>
      </x:c>
      <x:c r="F205" s="16" t="n">
        <x:v>11203</x:v>
      </x:c>
      <x:c r="G205" s="16" t="n">
        <x:v>1024006.15</x:v>
      </x:c>
      <x:c r="H205" s="16" t="n">
        <x:v>920242.05</x:v>
      </x:c>
      <x:c r="I205" s="16" t="n">
        <x:v>103765.36</x:v>
      </x:c>
      <x:c r="J205" s="16" t="n">
        <x:v>110147.16</x:v>
      </x:c>
      <x:c r="K205" s="16" t="n">
        <x:v>2778</x:v>
      </x:c>
      <x:c r="L205" s="16" t="n">
        <x:v>593.63</x:v>
      </x:c>
      <x:c r="M205" s="16" t="n">
        <x:v>533.47</x:v>
      </x:c>
      <x:c r="N205" s="16" t="n">
        <x:v>0.11969368276531159</x:v>
      </x:c>
      <x:c r="O205" s="16" t="n">
        <x:v>0.5410985586287496</x:v>
      </x:c>
    </x:row>
    <x:row r="206">
      <x:c r="A206" s="16" t="str">
        <x:v>Europe</x:v>
      </x:c>
      <x:c r="B206" s="16" t="str">
        <x:v>All</x:v>
      </x:c>
      <x:c r="C206" s="16" t="str">
        <x:v>2015-07</x:v>
      </x:c>
      <x:c r="D206" s="16" t="n">
        <x:v>5299</x:v>
      </x:c>
      <x:c r="E206" s="16" t="n">
        <x:v>1763</x:v>
      </x:c>
      <x:c r="F206" s="16" t="n">
        <x:v>11800</x:v>
      </x:c>
      <x:c r="G206" s="16" t="n">
        <x:v>1038081.17</x:v>
      </x:c>
      <x:c r="H206" s="16" t="n">
        <x:v>932936.78</x:v>
      </x:c>
      <x:c r="I206" s="16" t="n">
        <x:v>105145.67</x:v>
      </x:c>
      <x:c r="J206" s="16" t="n">
        <x:v>115624.06</x:v>
      </x:c>
      <x:c r="K206" s="16" t="n">
        <x:v>2939</x:v>
      </x:c>
      <x:c r="L206" s="16" t="n">
        <x:v>588.82</x:v>
      </x:c>
      <x:c r="M206" s="16" t="n">
        <x:v>529.18</x:v>
      </x:c>
      <x:c r="N206" s="16" t="n">
        <x:v>0.12393557900032626</x:v>
      </x:c>
      <x:c r="O206" s="16" t="n">
        <x:v>0.5546329496131346</x:v>
      </x:c>
    </x:row>
    <x:row r="207">
      <x:c r="A207" s="16" t="str">
        <x:v>Europe</x:v>
      </x:c>
      <x:c r="B207" s="16" t="str">
        <x:v>All</x:v>
      </x:c>
      <x:c r="C207" s="16" t="str">
        <x:v>2015-08</x:v>
      </x:c>
      <x:c r="D207" s="16" t="n">
        <x:v>5273</x:v>
      </x:c>
      <x:c r="E207" s="16" t="n">
        <x:v>1762</x:v>
      </x:c>
      <x:c r="F207" s="16" t="n">
        <x:v>11612</x:v>
      </x:c>
      <x:c r="G207" s="16" t="n">
        <x:v>1029494.67</x:v>
      </x:c>
      <x:c r="H207" s="16" t="n">
        <x:v>925192.86</x:v>
      </x:c>
      <x:c r="I207" s="16" t="n">
        <x:v>104303.01</x:v>
      </x:c>
      <x:c r="J207" s="16" t="n">
        <x:v>117979.77</x:v>
      </x:c>
      <x:c r="K207" s="16" t="n">
        <x:v>2936</x:v>
      </x:c>
      <x:c r="L207" s="16" t="n">
        <x:v>584.28</x:v>
      </x:c>
      <x:c r="M207" s="16" t="n">
        <x:v>525.08</x:v>
      </x:c>
      <x:c r="N207" s="16" t="n">
        <x:v>0.12751910990752782</x:v>
      </x:c>
      <x:c r="O207" s="16" t="n">
        <x:v>0.5567987862696757</x:v>
      </x:c>
    </x:row>
    <x:row r="208">
      <x:c r="A208" s="16" t="str">
        <x:v>Europe</x:v>
      </x:c>
      <x:c r="B208" s="16" t="str">
        <x:v>All</x:v>
      </x:c>
      <x:c r="C208" s="16" t="str">
        <x:v>2015-09</x:v>
      </x:c>
      <x:c r="D208" s="16" t="n">
        <x:v>5140</x:v>
      </x:c>
      <x:c r="E208" s="16" t="n">
        <x:v>1706</x:v>
      </x:c>
      <x:c r="F208" s="16" t="n">
        <x:v>11366</x:v>
      </x:c>
      <x:c r="G208" s="16" t="n">
        <x:v>1018338.58</x:v>
      </x:c>
      <x:c r="H208" s="16" t="n">
        <x:v>914522.36</x:v>
      </x:c>
      <x:c r="I208" s="16" t="n">
        <x:v>103817.56</x:v>
      </x:c>
      <x:c r="J208" s="16" t="n">
        <x:v>113467.94</x:v>
      </x:c>
      <x:c r="K208" s="16" t="n">
        <x:v>2914</x:v>
      </x:c>
      <x:c r="L208" s="16" t="n">
        <x:v>596.92</x:v>
      </x:c>
      <x:c r="M208" s="16" t="n">
        <x:v>536.06</x:v>
      </x:c>
      <x:c r="N208" s="16" t="n">
        <x:v>0.12407344529006377</x:v>
      </x:c>
      <x:c r="O208" s="16" t="n">
        <x:v>0.5669260700389105</x:v>
      </x:c>
    </x:row>
    <x:row r="209">
      <x:c r="A209" s="16" t="str">
        <x:v>Europe</x:v>
      </x:c>
      <x:c r="B209" s="16" t="str">
        <x:v>All</x:v>
      </x:c>
      <x:c r="C209" s="16" t="str">
        <x:v>2015-10</x:v>
      </x:c>
      <x:c r="D209" s="16" t="n">
        <x:v>3947</x:v>
      </x:c>
      <x:c r="E209" s="16" t="n">
        <x:v>1318</x:v>
      </x:c>
      <x:c r="F209" s="16" t="n">
        <x:v>8765</x:v>
      </x:c>
      <x:c r="G209" s="16" t="n">
        <x:v>780877.85</x:v>
      </x:c>
      <x:c r="H209" s="16" t="n">
        <x:v>701536.77</x:v>
      </x:c>
      <x:c r="I209" s="16" t="n">
        <x:v>79341.99</x:v>
      </x:c>
      <x:c r="J209" s="16" t="n">
        <x:v>74250.87</x:v>
      </x:c>
      <x:c r="K209" s="16" t="n">
        <x:v>2165</x:v>
      </x:c>
      <x:c r="L209" s="16" t="n">
        <x:v>592.47</x:v>
      </x:c>
      <x:c r="M209" s="16" t="n">
        <x:v>532.27</x:v>
      </x:c>
      <x:c r="N209" s="16" t="n">
        <x:v>0.10584031112153963</x:v>
      </x:c>
      <x:c r="O209" s="16" t="n">
        <x:v>0.5485178616670889</x:v>
      </x:c>
    </x:row>
    <x:row r="210">
      <x:c r="A210" s="16" t="str">
        <x:v>Europe</x:v>
      </x:c>
      <x:c r="B210" s="16" t="str">
        <x:v>All</x:v>
      </x:c>
      <x:c r="C210" s="16" t="str">
        <x:v>2016-08</x:v>
      </x:c>
      <x:c r="D210" s="16" t="n">
        <x:v>133</x:v>
      </x:c>
      <x:c r="E210" s="16" t="n">
        <x:v>40</x:v>
      </x:c>
      <x:c r="F210" s="16" t="n">
        <x:v>313</x:v>
      </x:c>
      <x:c r="G210" s="16" t="n">
        <x:v>27253.63</x:v>
      </x:c>
      <x:c r="H210" s="16" t="n">
        <x:v>24404.05</x:v>
      </x:c>
      <x:c r="I210" s="16" t="n">
        <x:v>2849.62</x:v>
      </x:c>
      <x:c r="J210" s="16" t="n">
        <x:v>1194.29</x:v>
      </x:c>
      <x:c r="K210" s="16" t="n">
        <x:v>57</x:v>
      </x:c>
      <x:c r="L210" s="16" t="n">
        <x:v>681.34</x:v>
      </x:c>
      <x:c r="M210" s="16" t="n">
        <x:v>610.1</x:v>
      </x:c>
      <x:c r="N210" s="16" t="n">
        <x:v>0.04893818853837785</x:v>
      </x:c>
      <x:c r="O210" s="16" t="n">
        <x:v>0.42857142857142855</x:v>
      </x:c>
    </x:row>
    <x:row r="211">
      <x:c r="A211" s="16" t="str">
        <x:v>Europe</x:v>
      </x:c>
      <x:c r="B211" s="16" t="str">
        <x:v>All</x:v>
      </x:c>
      <x:c r="C211" s="16" t="str">
        <x:v>2016-09</x:v>
      </x:c>
      <x:c r="D211" s="16" t="n">
        <x:v>850</x:v>
      </x:c>
      <x:c r="E211" s="16" t="n">
        <x:v>286</x:v>
      </x:c>
      <x:c r="F211" s="16" t="n">
        <x:v>1857</x:v>
      </x:c>
      <x:c r="G211" s="16" t="n">
        <x:v>163844.04</x:v>
      </x:c>
      <x:c r="H211" s="16" t="n">
        <x:v>147489.7</x:v>
      </x:c>
      <x:c r="I211" s="16" t="n">
        <x:v>16354.56</x:v>
      </x:c>
      <x:c r="J211" s="16" t="n">
        <x:v>19897.61</x:v>
      </x:c>
      <x:c r="K211" s="16" t="n">
        <x:v>517</x:v>
      </x:c>
      <x:c r="L211" s="16" t="n">
        <x:v>572.88</x:v>
      </x:c>
      <x:c r="M211" s="16" t="n">
        <x:v>515.7</x:v>
      </x:c>
      <x:c r="N211" s="16" t="n">
        <x:v>0.1349084715746252</x:v>
      </x:c>
      <x:c r="O211" s="16" t="n">
        <x:v>0.6082352941176471</x:v>
      </x:c>
    </x:row>
    <x:row r="212">
      <x:c r="A212" s="16" t="str">
        <x:v>Europe</x:v>
      </x:c>
      <x:c r="B212" s="16" t="str">
        <x:v>All</x:v>
      </x:c>
      <x:c r="C212" s="16" t="str">
        <x:v>2016-10</x:v>
      </x:c>
      <x:c r="D212" s="16" t="n">
        <x:v>980</x:v>
      </x:c>
      <x:c r="E212" s="16" t="n">
        <x:v>312</x:v>
      </x:c>
      <x:c r="F212" s="16" t="n">
        <x:v>2221</x:v>
      </x:c>
      <x:c r="G212" s="16" t="n">
        <x:v>195124.2</x:v>
      </x:c>
      <x:c r="H212" s="16" t="n">
        <x:v>175139.8</x:v>
      </x:c>
      <x:c r="I212" s="16" t="n">
        <x:v>19984.71</x:v>
      </x:c>
      <x:c r="J212" s="16" t="n">
        <x:v>22052.32</x:v>
      </x:c>
      <x:c r="K212" s="16" t="n">
        <x:v>576</x:v>
      </x:c>
      <x:c r="L212" s="16" t="n">
        <x:v>625.4</x:v>
      </x:c>
      <x:c r="M212" s="16" t="n">
        <x:v>561.35</x:v>
      </x:c>
      <x:c r="N212" s="16" t="n">
        <x:v>0.1259126709063274</x:v>
      </x:c>
      <x:c r="O212" s="16" t="n">
        <x:v>0.5877551020408164</x:v>
      </x:c>
    </x:row>
    <x:row r="213">
      <x:c r="A213" s="16" t="str">
        <x:v>Europe</x:v>
      </x:c>
      <x:c r="B213" s="16" t="str">
        <x:v>All</x:v>
      </x:c>
      <x:c r="C213" s="16" t="str">
        <x:v>2016-11</x:v>
      </x:c>
      <x:c r="D213" s="16" t="n">
        <x:v>988</x:v>
      </x:c>
      <x:c r="E213" s="16" t="n">
        <x:v>323</x:v>
      </x:c>
      <x:c r="F213" s="16" t="n">
        <x:v>2212</x:v>
      </x:c>
      <x:c r="G213" s="16" t="n">
        <x:v>194659.65</x:v>
      </x:c>
      <x:c r="H213" s="16" t="n">
        <x:v>174581.39</x:v>
      </x:c>
      <x:c r="I213" s="16" t="n">
        <x:v>20078.51</x:v>
      </x:c>
      <x:c r="J213" s="16" t="n">
        <x:v>18713.64</x:v>
      </x:c>
      <x:c r="K213" s="16" t="n">
        <x:v>521</x:v>
      </x:c>
      <x:c r="L213" s="16" t="n">
        <x:v>602.66</x:v>
      </x:c>
      <x:c r="M213" s="16" t="n">
        <x:v>540.5</x:v>
      </x:c>
      <x:c r="N213" s="16" t="n">
        <x:v>0.10719149389290576</x:v>
      </x:c>
      <x:c r="O213" s="16" t="n">
        <x:v>0.5273279352226721</x:v>
      </x:c>
    </x:row>
    <x:row r="214">
      <x:c r="A214" s="16" t="str">
        <x:v>Europe</x:v>
      </x:c>
      <x:c r="B214" s="16" t="str">
        <x:v>All</x:v>
      </x:c>
      <x:c r="C214" s="16" t="str">
        <x:v>2016-12</x:v>
      </x:c>
      <x:c r="D214" s="16" t="n">
        <x:v>921</x:v>
      </x:c>
      <x:c r="E214" s="16" t="n">
        <x:v>313</x:v>
      </x:c>
      <x:c r="F214" s="16" t="n">
        <x:v>2041</x:v>
      </x:c>
      <x:c r="G214" s="16" t="n">
        <x:v>180441.81</x:v>
      </x:c>
      <x:c r="H214" s="16" t="n">
        <x:v>162640.51</x:v>
      </x:c>
      <x:c r="I214" s="16" t="n">
        <x:v>17801.5</x:v>
      </x:c>
      <x:c r="J214" s="16" t="n">
        <x:v>18255.6</x:v>
      </x:c>
      <x:c r="K214" s="16" t="n">
        <x:v>480</x:v>
      </x:c>
      <x:c r="L214" s="16" t="n">
        <x:v>576.49</x:v>
      </x:c>
      <x:c r="M214" s="16" t="n">
        <x:v>519.62</x:v>
      </x:c>
      <x:c r="N214" s="16" t="n">
        <x:v>0.11224509810009817</x:v>
      </x:c>
      <x:c r="O214" s="16" t="n">
        <x:v>0.5211726384364821</x:v>
      </x:c>
    </x:row>
    <x:row r="215">
      <x:c r="A215" s="16" t="str">
        <x:v>Europe</x:v>
      </x:c>
      <x:c r="B215" s="16" t="str">
        <x:v>All</x:v>
      </x:c>
      <x:c r="C215" s="16" t="str">
        <x:v>2017-01</x:v>
      </x:c>
      <x:c r="D215" s="16" t="n">
        <x:v>563</x:v>
      </x:c>
      <x:c r="E215" s="16" t="n">
        <x:v>188</x:v>
      </x:c>
      <x:c r="F215" s="16" t="n">
        <x:v>1258</x:v>
      </x:c>
      <x:c r="G215" s="16" t="n">
        <x:v>114012.87</x:v>
      </x:c>
      <x:c r="H215" s="16" t="n">
        <x:v>102391.28</x:v>
      </x:c>
      <x:c r="I215" s="16" t="n">
        <x:v>11621.73</x:v>
      </x:c>
      <x:c r="J215" s="16" t="n">
        <x:v>11721.14</x:v>
      </x:c>
      <x:c r="K215" s="16" t="n">
        <x:v>324</x:v>
      </x:c>
      <x:c r="L215" s="16" t="n">
        <x:v>606.45</x:v>
      </x:c>
      <x:c r="M215" s="16" t="n">
        <x:v>544.63</x:v>
      </x:c>
      <x:c r="N215" s="16" t="n">
        <x:v>0.11447400598957254</x:v>
      </x:c>
      <x:c r="O215" s="16" t="n">
        <x:v>0.5754884547069272</x:v>
      </x:c>
    </x:row>
    <x:row r="216">
      <x:c r="A216" s="16" t="str">
        <x:v>Europe</x:v>
      </x:c>
      <x:c r="B216" s="16" t="str">
        <x:v>All</x:v>
      </x:c>
      <x:c r="C216" s="16" t="str">
        <x:v>2017-06</x:v>
      </x:c>
      <x:c r="D216" s="16" t="n">
        <x:v>2154</x:v>
      </x:c>
      <x:c r="E216" s="16" t="n">
        <x:v>734</x:v>
      </x:c>
      <x:c r="F216" s="16" t="n">
        <x:v>4475</x:v>
      </x:c>
      <x:c r="G216" s="16" t="n">
        <x:v>450552.06</x:v>
      </x:c>
      <x:c r="H216" s="16" t="n">
        <x:v>404611.11</x:v>
      </x:c>
      <x:c r="I216" s="16" t="n">
        <x:v>45941.44</x:v>
      </x:c>
      <x:c r="J216" s="16" t="n">
        <x:v>43381.99</x:v>
      </x:c>
      <x:c r="K216" s="16" t="n">
        <x:v>1151</x:v>
      </x:c>
      <x:c r="L216" s="16" t="n">
        <x:v>613.83</x:v>
      </x:c>
      <x:c r="M216" s="16" t="n">
        <x:v>551.24</x:v>
      </x:c>
      <x:c r="N216" s="16" t="n">
        <x:v>0.10721897873738563</x:v>
      </x:c>
      <x:c r="O216" s="16" t="n">
        <x:v>0.5343546889507892</x:v>
      </x:c>
    </x:row>
    <x:row r="217">
      <x:c r="A217" s="16" t="str">
        <x:v>Europe</x:v>
      </x:c>
      <x:c r="B217" s="16" t="str">
        <x:v>All</x:v>
      </x:c>
      <x:c r="C217" s="16" t="str">
        <x:v>2017-07</x:v>
      </x:c>
      <x:c r="D217" s="16" t="n">
        <x:v>5318</x:v>
      </x:c>
      <x:c r="E217" s="16" t="n">
        <x:v>1776</x:v>
      </x:c>
      <x:c r="F217" s="16" t="n">
        <x:v>11091</x:v>
      </x:c>
      <x:c r="G217" s="16" t="n">
        <x:v>1104373.34</x:v>
      </x:c>
      <x:c r="H217" s="16" t="n">
        <x:v>992423.42</x:v>
      </x:c>
      <x:c r="I217" s="16" t="n">
        <x:v>111951.16</x:v>
      </x:c>
      <x:c r="J217" s="16" t="n">
        <x:v>113026.7</x:v>
      </x:c>
      <x:c r="K217" s="16" t="n">
        <x:v>2913</x:v>
      </x:c>
      <x:c r="L217" s="16" t="n">
        <x:v>621.83</x:v>
      </x:c>
      <x:c r="M217" s="16" t="n">
        <x:v>558.8</x:v>
      </x:c>
      <x:c r="N217" s="16" t="n">
        <x:v>0.11388959361720825</x:v>
      </x:c>
      <x:c r="O217" s="16" t="n">
        <x:v>0.5477623166603987</x:v>
      </x:c>
    </x:row>
    <x:row r="218">
      <x:c r="A218" s="16" t="str">
        <x:v>Europe</x:v>
      </x:c>
      <x:c r="B218" s="16" t="str">
        <x:v>All</x:v>
      </x:c>
      <x:c r="C218" s="16" t="str">
        <x:v>2017-08</x:v>
      </x:c>
      <x:c r="D218" s="16" t="n">
        <x:v>5305</x:v>
      </x:c>
      <x:c r="E218" s="16" t="n">
        <x:v>1768</x:v>
      </x:c>
      <x:c r="F218" s="16" t="n">
        <x:v>11095</x:v>
      </x:c>
      <x:c r="G218" s="16" t="n">
        <x:v>1109337.15</x:v>
      </x:c>
      <x:c r="H218" s="16" t="n">
        <x:v>996507.87</x:v>
      </x:c>
      <x:c r="I218" s="16" t="n">
        <x:v>112830.56</x:v>
      </x:c>
      <x:c r="J218" s="16" t="n">
        <x:v>131501.16</x:v>
      </x:c>
      <x:c r="K218" s="16" t="n">
        <x:v>2994</x:v>
      </x:c>
      <x:c r="L218" s="16" t="n">
        <x:v>627.45</x:v>
      </x:c>
      <x:c r="M218" s="16" t="n">
        <x:v>563.64</x:v>
      </x:c>
      <x:c r="N218" s="16" t="n">
        <x:v>0.1319619884186163</x:v>
      </x:c>
      <x:c r="O218" s="16" t="n">
        <x:v>0.564373232799246</x:v>
      </x:c>
    </x:row>
    <x:row r="219">
      <x:c r="A219" s="16" t="str">
        <x:v>Europe</x:v>
      </x:c>
      <x:c r="B219" s="16" t="str">
        <x:v>All</x:v>
      </x:c>
      <x:c r="C219" s="16" t="str">
        <x:v>2017-09</x:v>
      </x:c>
      <x:c r="D219" s="16" t="n">
        <x:v>5189</x:v>
      </x:c>
      <x:c r="E219" s="16" t="n">
        <x:v>1723</x:v>
      </x:c>
      <x:c r="F219" s="16" t="n">
        <x:v>10502</x:v>
      </x:c>
      <x:c r="G219" s="16" t="n">
        <x:v>1143775.09</x:v>
      </x:c>
      <x:c r="H219" s="16" t="n">
        <x:v>1027111.72</x:v>
      </x:c>
      <x:c r="I219" s="16" t="n">
        <x:v>116664.51</x:v>
      </x:c>
      <x:c r="J219" s="16" t="n">
        <x:v>122462.39</x:v>
      </x:c>
      <x:c r="K219" s="16" t="n">
        <x:v>2814</x:v>
      </x:c>
      <x:c r="L219" s="16" t="n">
        <x:v>663.83</x:v>
      </x:c>
      <x:c r="M219" s="16" t="n">
        <x:v>596.12</x:v>
      </x:c>
      <x:c r="N219" s="16" t="n">
        <x:v>0.11922986332976514</x:v>
      </x:c>
      <x:c r="O219" s="16" t="n">
        <x:v>0.5423010213914049</x:v>
      </x:c>
    </x:row>
    <x:row r="220">
      <x:c r="A220" s="16" t="str">
        <x:v>Europe</x:v>
      </x:c>
      <x:c r="B220" s="16" t="str">
        <x:v>All</x:v>
      </x:c>
      <x:c r="C220" s="16" t="str">
        <x:v>2017-10</x:v>
      </x:c>
      <x:c r="D220" s="16" t="n">
        <x:v>2255</x:v>
      </x:c>
      <x:c r="E220" s="16" t="n">
        <x:v>2101</x:v>
      </x:c>
      <x:c r="F220" s="16" t="n">
        <x:v>2490</x:v>
      </x:c>
      <x:c r="G220" s="16" t="n">
        <x:v>1073994.16</x:v>
      </x:c>
      <x:c r="H220" s="16" t="n">
        <x:v>966081.41</x:v>
      </x:c>
      <x:c r="I220" s="16" t="n">
        <x:v>107913.68</x:v>
      </x:c>
      <x:c r="J220" s="16" t="n">
        <x:v>113447.17</x:v>
      </x:c>
      <x:c r="K220" s="16" t="n">
        <x:v>1210</x:v>
      </x:c>
      <x:c r="L220" s="16" t="n">
        <x:v>511.18</x:v>
      </x:c>
      <x:c r="M220" s="16" t="n">
        <x:v>459.82</x:v>
      </x:c>
      <x:c r="N220" s="16" t="n">
        <x:v>0.11743023809970632</x:v>
      </x:c>
      <x:c r="O220" s="16" t="n">
        <x:v>0.5365853658536586</x:v>
      </x:c>
    </x:row>
    <x:row r="221">
      <x:c r="A221" s="16" t="str">
        <x:v>Europe</x:v>
      </x:c>
      <x:c r="B221" s="16" t="str">
        <x:v>All</x:v>
      </x:c>
      <x:c r="C221" s="16" t="str">
        <x:v>2017-11</x:v>
      </x:c>
      <x:c r="D221" s="16" t="n">
        <x:v>682</x:v>
      </x:c>
      <x:c r="E221" s="16" t="n">
        <x:v>682</x:v>
      </x:c>
      <x:c r="F221" s="16" t="n">
        <x:v>682</x:v>
      </x:c>
      <x:c r="G221" s="16" t="n">
        <x:v>201623.26</x:v>
      </x:c>
      <x:c r="H221" s="16" t="n">
        <x:v>181153.87</x:v>
      </x:c>
      <x:c r="I221" s="16" t="n">
        <x:v>20469.51</x:v>
      </x:c>
      <x:c r="J221" s="16" t="n">
        <x:v>19361.7</x:v>
      </x:c>
      <x:c r="K221" s="16" t="n">
        <x:v>380</x:v>
      </x:c>
      <x:c r="L221" s="16" t="n">
        <x:v>295.64</x:v>
      </x:c>
      <x:c r="M221" s="16" t="n">
        <x:v>265.62</x:v>
      </x:c>
      <x:c r="N221" s="16" t="n">
        <x:v>0.10687985854235409</x:v>
      </x:c>
      <x:c r="O221" s="16" t="n">
        <x:v>0.5571847507331378</x:v>
      </x:c>
    </x:row>
    <x:row r="222">
      <x:c r="A222" s="16" t="str">
        <x:v>Europe</x:v>
      </x:c>
      <x:c r="B222" s="16" t="str">
        <x:v>Consumer</x:v>
      </x:c>
      <x:c r="C222" s="16" t="str">
        <x:v>2015-05</x:v>
      </x:c>
      <x:c r="D222" s="16" t="n">
        <x:v>60</x:v>
      </x:c>
      <x:c r="E222" s="16" t="n">
        <x:v>23</x:v>
      </x:c>
      <x:c r="F222" s="16" t="n">
        <x:v>121</x:v>
      </x:c>
      <x:c r="G222" s="16" t="n">
        <x:v>10883.52</x:v>
      </x:c>
      <x:c r="H222" s="16" t="n">
        <x:v>9863.13</x:v>
      </x:c>
      <x:c r="I222" s="16" t="n">
        <x:v>1020.4</x:v>
      </x:c>
      <x:c r="J222" s="16" t="n">
        <x:v>1695.12</x:v>
      </x:c>
      <x:c r="K222" s="16" t="n">
        <x:v>33</x:v>
      </x:c>
      <x:c r="L222" s="16" t="n">
        <x:v>473.2</x:v>
      </x:c>
      <x:c r="M222" s="16" t="n">
        <x:v>428.83</x:v>
      </x:c>
      <x:c r="N222" s="16" t="n">
        <x:v>0.17186430676671602</x:v>
      </x:c>
      <x:c r="O222" s="16" t="n">
        <x:v>0.55</x:v>
      </x:c>
    </x:row>
    <x:row r="223">
      <x:c r="A223" s="16" t="str">
        <x:v>Europe</x:v>
      </x:c>
      <x:c r="B223" s="16" t="str">
        <x:v>Consumer</x:v>
      </x:c>
      <x:c r="C223" s="16" t="str">
        <x:v>2015-06</x:v>
      </x:c>
      <x:c r="D223" s="16" t="n">
        <x:v>2670</x:v>
      </x:c>
      <x:c r="E223" s="16" t="n">
        <x:v>890</x:v>
      </x:c>
      <x:c r="F223" s="16" t="n">
        <x:v>5907</x:v>
      </x:c>
      <x:c r="G223" s="16" t="n">
        <x:v>535247.83</x:v>
      </x:c>
      <x:c r="H223" s="16" t="n">
        <x:v>479756.89</x:v>
      </x:c>
      <x:c r="I223" s="16" t="n">
        <x:v>55491.63</x:v>
      </x:c>
      <x:c r="J223" s="16" t="n">
        <x:v>60763.22</x:v>
      </x:c>
      <x:c r="K223" s="16" t="n">
        <x:v>1527</x:v>
      </x:c>
      <x:c r="L223" s="16" t="n">
        <x:v>601.4</x:v>
      </x:c>
      <x:c r="M223" s="16" t="n">
        <x:v>539.05</x:v>
      </x:c>
      <x:c r="N223" s="16" t="n">
        <x:v>0.12665418937495612</x:v>
      </x:c>
      <x:c r="O223" s="16" t="n">
        <x:v>0.5719101123595506</x:v>
      </x:c>
    </x:row>
    <x:row r="224">
      <x:c r="A224" s="16" t="str">
        <x:v>Europe</x:v>
      </x:c>
      <x:c r="B224" s="16" t="str">
        <x:v>Consumer</x:v>
      </x:c>
      <x:c r="C224" s="16" t="str">
        <x:v>2015-07</x:v>
      </x:c>
      <x:c r="D224" s="16" t="n">
        <x:v>2688</x:v>
      </x:c>
      <x:c r="E224" s="16" t="n">
        <x:v>899</x:v>
      </x:c>
      <x:c r="F224" s="16" t="n">
        <x:v>5945</x:v>
      </x:c>
      <x:c r="G224" s="16" t="n">
        <x:v>527297.43</x:v>
      </x:c>
      <x:c r="H224" s="16" t="n">
        <x:v>474008.13</x:v>
      </x:c>
      <x:c r="I224" s="16" t="n">
        <x:v>53289.92</x:v>
      </x:c>
      <x:c r="J224" s="16" t="n">
        <x:v>61223.24</x:v>
      </x:c>
      <x:c r="K224" s="16" t="n">
        <x:v>1452</x:v>
      </x:c>
      <x:c r="L224" s="16" t="n">
        <x:v>586.54</x:v>
      </x:c>
      <x:c r="M224" s="16" t="n">
        <x:v>527.26</x:v>
      </x:c>
      <x:c r="N224" s="16" t="n">
        <x:v>0.12916073823459526</x:v>
      </x:c>
      <x:c r="O224" s="16" t="n">
        <x:v>0.5401785714285714</x:v>
      </x:c>
    </x:row>
    <x:row r="225">
      <x:c r="A225" s="16" t="str">
        <x:v>Europe</x:v>
      </x:c>
      <x:c r="B225" s="16" t="str">
        <x:v>Consumer</x:v>
      </x:c>
      <x:c r="C225" s="16" t="str">
        <x:v>2015-08</x:v>
      </x:c>
      <x:c r="D225" s="16" t="n">
        <x:v>2709</x:v>
      </x:c>
      <x:c r="E225" s="16" t="n">
        <x:v>893</x:v>
      </x:c>
      <x:c r="F225" s="16" t="n">
        <x:v>6081</x:v>
      </x:c>
      <x:c r="G225" s="16" t="n">
        <x:v>530694.29</x:v>
      </x:c>
      <x:c r="H225" s="16" t="n">
        <x:v>476855.15</x:v>
      </x:c>
      <x:c r="I225" s="16" t="n">
        <x:v>53839.72</x:v>
      </x:c>
      <x:c r="J225" s="16" t="n">
        <x:v>56663.4</x:v>
      </x:c>
      <x:c r="K225" s="16" t="n">
        <x:v>1483</x:v>
      </x:c>
      <x:c r="L225" s="16" t="n">
        <x:v>594.28</x:v>
      </x:c>
      <x:c r="M225" s="16" t="n">
        <x:v>533.99</x:v>
      </x:c>
      <x:c r="N225" s="16" t="n">
        <x:v>0.11882727910142105</x:v>
      </x:c>
      <x:c r="O225" s="16" t="n">
        <x:v>0.5474344776670358</x:v>
      </x:c>
    </x:row>
    <x:row r="226">
      <x:c r="A226" s="16" t="str">
        <x:v>Europe</x:v>
      </x:c>
      <x:c r="B226" s="16" t="str">
        <x:v>Consumer</x:v>
      </x:c>
      <x:c r="C226" s="16" t="str">
        <x:v>2015-09</x:v>
      </x:c>
      <x:c r="D226" s="16" t="n">
        <x:v>2709</x:v>
      </x:c>
      <x:c r="E226" s="16" t="n">
        <x:v>901</x:v>
      </x:c>
      <x:c r="F226" s="16" t="n">
        <x:v>5971</x:v>
      </x:c>
      <x:c r="G226" s="16" t="n">
        <x:v>535371.13</x:v>
      </x:c>
      <x:c r="H226" s="16" t="n">
        <x:v>481417.61</x:v>
      </x:c>
      <x:c r="I226" s="16" t="n">
        <x:v>53954.21</x:v>
      </x:c>
      <x:c r="J226" s="16" t="n">
        <x:v>68083.11</x:v>
      </x:c>
      <x:c r="K226" s="16" t="n">
        <x:v>1574</x:v>
      </x:c>
      <x:c r="L226" s="16" t="n">
        <x:v>594.2</x:v>
      </x:c>
      <x:c r="M226" s="16" t="n">
        <x:v>534.31</x:v>
      </x:c>
      <x:c r="N226" s="16" t="n">
        <x:v>0.1414221428252282</x:v>
      </x:c>
      <x:c r="O226" s="16" t="n">
        <x:v>0.5810262089331857</x:v>
      </x:c>
    </x:row>
    <x:row r="227">
      <x:c r="A227" s="16" t="str">
        <x:v>Europe</x:v>
      </x:c>
      <x:c r="B227" s="16" t="str">
        <x:v>Consumer</x:v>
      </x:c>
      <x:c r="C227" s="16" t="str">
        <x:v>2015-10</x:v>
      </x:c>
      <x:c r="D227" s="16" t="n">
        <x:v>1979</x:v>
      </x:c>
      <x:c r="E227" s="16" t="n">
        <x:v>665</x:v>
      </x:c>
      <x:c r="F227" s="16" t="n">
        <x:v>4407</x:v>
      </x:c>
      <x:c r="G227" s="16" t="n">
        <x:v>392735.09</x:v>
      </x:c>
      <x:c r="H227" s="16" t="n">
        <x:v>352442.02</x:v>
      </x:c>
      <x:c r="I227" s="16" t="n">
        <x:v>40293.54</x:v>
      </x:c>
      <x:c r="J227" s="16" t="n">
        <x:v>31251.16</x:v>
      </x:c>
      <x:c r="K227" s="16" t="n">
        <x:v>1110</x:v>
      </x:c>
      <x:c r="L227" s="16" t="n">
        <x:v>590.58</x:v>
      </x:c>
      <x:c r="M227" s="16" t="n">
        <x:v>529.99</x:v>
      </x:c>
      <x:c r="N227" s="16" t="n">
        <x:v>0.08867035775132602</x:v>
      </x:c>
      <x:c r="O227" s="16" t="n">
        <x:v>0.56088933804952</x:v>
      </x:c>
    </x:row>
    <x:row r="228">
      <x:c r="A228" s="16" t="str">
        <x:v>Europe</x:v>
      </x:c>
      <x:c r="B228" s="16" t="str">
        <x:v>Consumer</x:v>
      </x:c>
      <x:c r="C228" s="16" t="str">
        <x:v>2016-08</x:v>
      </x:c>
      <x:c r="D228" s="16" t="n">
        <x:v>77</x:v>
      </x:c>
      <x:c r="E228" s="16" t="n">
        <x:v>24</x:v>
      </x:c>
      <x:c r="F228" s="16" t="n">
        <x:v>193</x:v>
      </x:c>
      <x:c r="G228" s="16" t="n">
        <x:v>15537.03</x:v>
      </x:c>
      <x:c r="H228" s="16" t="n">
        <x:v>13886.58</x:v>
      </x:c>
      <x:c r="I228" s="16" t="n">
        <x:v>1650.48</x:v>
      </x:c>
      <x:c r="J228" s="16" t="n">
        <x:v>526.99</x:v>
      </x:c>
      <x:c r="K228" s="16" t="n">
        <x:v>37</x:v>
      </x:c>
      <x:c r="L228" s="16" t="n">
        <x:v>647.38</x:v>
      </x:c>
      <x:c r="M228" s="16" t="n">
        <x:v>578.61</x:v>
      </x:c>
      <x:c r="N228" s="16" t="n">
        <x:v>0.03794958873963208</x:v>
      </x:c>
      <x:c r="O228" s="16" t="n">
        <x:v>0.4805194805194805</x:v>
      </x:c>
    </x:row>
    <x:row r="229">
      <x:c r="A229" s="16" t="str">
        <x:v>Europe</x:v>
      </x:c>
      <x:c r="B229" s="16" t="str">
        <x:v>Consumer</x:v>
      </x:c>
      <x:c r="C229" s="16" t="str">
        <x:v>2016-09</x:v>
      </x:c>
      <x:c r="D229" s="16" t="n">
        <x:v>456</x:v>
      </x:c>
      <x:c r="E229" s="16" t="n">
        <x:v>148</x:v>
      </x:c>
      <x:c r="F229" s="16" t="n">
        <x:v>996</x:v>
      </x:c>
      <x:c r="G229" s="16" t="n">
        <x:v>87579.21</x:v>
      </x:c>
      <x:c r="H229" s="16" t="n">
        <x:v>79056.97</x:v>
      </x:c>
      <x:c r="I229" s="16" t="n">
        <x:v>8522.34</x:v>
      </x:c>
      <x:c r="J229" s="16" t="n">
        <x:v>10201.07</x:v>
      </x:c>
      <x:c r="K229" s="16" t="n">
        <x:v>270</x:v>
      </x:c>
      <x:c r="L229" s="16" t="n">
        <x:v>591.75</x:v>
      </x:c>
      <x:c r="M229" s="16" t="n">
        <x:v>534.17</x:v>
      </x:c>
      <x:c r="N229" s="16" t="n">
        <x:v>0.12903441657326356</x:v>
      </x:c>
      <x:c r="O229" s="16" t="n">
        <x:v>0.5921052631578947</x:v>
      </x:c>
    </x:row>
    <x:row r="230">
      <x:c r="A230" s="16" t="str">
        <x:v>Europe</x:v>
      </x:c>
      <x:c r="B230" s="16" t="str">
        <x:v>Consumer</x:v>
      </x:c>
      <x:c r="C230" s="16" t="str">
        <x:v>2016-10</x:v>
      </x:c>
      <x:c r="D230" s="16" t="n">
        <x:v>563</x:v>
      </x:c>
      <x:c r="E230" s="16" t="n">
        <x:v>176</x:v>
      </x:c>
      <x:c r="F230" s="16" t="n">
        <x:v>1254</x:v>
      </x:c>
      <x:c r="G230" s="16" t="n">
        <x:v>113362.05</x:v>
      </x:c>
      <x:c r="H230" s="16" t="n">
        <x:v>101751.99</x:v>
      </x:c>
      <x:c r="I230" s="16" t="n">
        <x:v>11610.21</x:v>
      </x:c>
      <x:c r="J230" s="16" t="n">
        <x:v>12479.49</x:v>
      </x:c>
      <x:c r="K230" s="16" t="n">
        <x:v>338</x:v>
      </x:c>
      <x:c r="L230" s="16" t="n">
        <x:v>644.1</x:v>
      </x:c>
      <x:c r="M230" s="16" t="n">
        <x:v>578.14</x:v>
      </x:c>
      <x:c r="N230" s="16" t="n">
        <x:v>0.1226461516870579</x:v>
      </x:c>
      <x:c r="O230" s="16" t="n">
        <x:v>0.6003552397868561</x:v>
      </x:c>
    </x:row>
    <x:row r="231">
      <x:c r="A231" s="16" t="str">
        <x:v>Europe</x:v>
      </x:c>
      <x:c r="B231" s="16" t="str">
        <x:v>Consumer</x:v>
      </x:c>
      <x:c r="C231" s="16" t="str">
        <x:v>2016-11</x:v>
      </x:c>
      <x:c r="D231" s="16" t="n">
        <x:v>513</x:v>
      </x:c>
      <x:c r="E231" s="16" t="n">
        <x:v>168</x:v>
      </x:c>
      <x:c r="F231" s="16" t="n">
        <x:v>1156</x:v>
      </x:c>
      <x:c r="G231" s="16" t="n">
        <x:v>102442.63</x:v>
      </x:c>
      <x:c r="H231" s="16" t="n">
        <x:v>91632.98</x:v>
      </x:c>
      <x:c r="I231" s="16" t="n">
        <x:v>10809.77</x:v>
      </x:c>
      <x:c r="J231" s="16" t="n">
        <x:v>12266.75</x:v>
      </x:c>
      <x:c r="K231" s="16" t="n">
        <x:v>260</x:v>
      </x:c>
      <x:c r="L231" s="16" t="n">
        <x:v>609.78</x:v>
      </x:c>
      <x:c r="M231" s="16" t="n">
        <x:v>545.43</x:v>
      </x:c>
      <x:c r="N231" s="16" t="n">
        <x:v>0.1338682862873171</x:v>
      </x:c>
      <x:c r="O231" s="16" t="n">
        <x:v>0.50682261208577</x:v>
      </x:c>
    </x:row>
    <x:row r="232">
      <x:c r="A232" s="16" t="str">
        <x:v>Europe</x:v>
      </x:c>
      <x:c r="B232" s="16" t="str">
        <x:v>Consumer</x:v>
      </x:c>
      <x:c r="C232" s="16" t="str">
        <x:v>2016-12</x:v>
      </x:c>
      <x:c r="D232" s="16" t="n">
        <x:v>503</x:v>
      </x:c>
      <x:c r="E232" s="16" t="n">
        <x:v>173</x:v>
      </x:c>
      <x:c r="F232" s="16" t="n">
        <x:v>1140</x:v>
      </x:c>
      <x:c r="G232" s="16" t="n">
        <x:v>100401.61</x:v>
      </x:c>
      <x:c r="H232" s="16" t="n">
        <x:v>90842.94</x:v>
      </x:c>
      <x:c r="I232" s="16" t="n">
        <x:v>9558.78</x:v>
      </x:c>
      <x:c r="J232" s="16" t="n">
        <x:v>9742.52</x:v>
      </x:c>
      <x:c r="K232" s="16" t="n">
        <x:v>263</x:v>
      </x:c>
      <x:c r="L232" s="16" t="n">
        <x:v>580.36</x:v>
      </x:c>
      <x:c r="M232" s="16" t="n">
        <x:v>525.1</x:v>
      </x:c>
      <x:c r="N232" s="16" t="n">
        <x:v>0.1072457584485927</x:v>
      </x:c>
      <x:c r="O232" s="16" t="n">
        <x:v>0.5228628230616302</x:v>
      </x:c>
    </x:row>
    <x:row r="233">
      <x:c r="A233" s="16" t="str">
        <x:v>Europe</x:v>
      </x:c>
      <x:c r="B233" s="16" t="str">
        <x:v>Consumer</x:v>
      </x:c>
      <x:c r="C233" s="16" t="str">
        <x:v>2017-01</x:v>
      </x:c>
      <x:c r="D233" s="16" t="n">
        <x:v>272</x:v>
      </x:c>
      <x:c r="E233" s="16" t="n">
        <x:v>93</x:v>
      </x:c>
      <x:c r="F233" s="16" t="n">
        <x:v>618</x:v>
      </x:c>
      <x:c r="G233" s="16" t="n">
        <x:v>55122.58</x:v>
      </x:c>
      <x:c r="H233" s="16" t="n">
        <x:v>49426.74</x:v>
      </x:c>
      <x:c r="I233" s="16" t="n">
        <x:v>5695.91</x:v>
      </x:c>
      <x:c r="J233" s="16" t="n">
        <x:v>5220.28</x:v>
      </x:c>
      <x:c r="K233" s="16" t="n">
        <x:v>162</x:v>
      </x:c>
      <x:c r="L233" s="16" t="n">
        <x:v>592.72</x:v>
      </x:c>
      <x:c r="M233" s="16" t="n">
        <x:v>531.47</x:v>
      </x:c>
      <x:c r="N233" s="16" t="n">
        <x:v>0.1056165144616052</x:v>
      </x:c>
      <x:c r="O233" s="16" t="n">
        <x:v>0.5955882352941176</x:v>
      </x:c>
    </x:row>
    <x:row r="234">
      <x:c r="A234" s="16" t="str">
        <x:v>Europe</x:v>
      </x:c>
      <x:c r="B234" s="16" t="str">
        <x:v>Consumer</x:v>
      </x:c>
      <x:c r="C234" s="16" t="str">
        <x:v>2017-06</x:v>
      </x:c>
      <x:c r="D234" s="16" t="n">
        <x:v>1054</x:v>
      </x:c>
      <x:c r="E234" s="16" t="n">
        <x:v>368</x:v>
      </x:c>
      <x:c r="F234" s="16" t="n">
        <x:v>2141</x:v>
      </x:c>
      <x:c r="G234" s="16" t="n">
        <x:v>217457.37</x:v>
      </x:c>
      <x:c r="H234" s="16" t="n">
        <x:v>195823.17</x:v>
      </x:c>
      <x:c r="I234" s="16" t="n">
        <x:v>21634.44</x:v>
      </x:c>
      <x:c r="J234" s="16" t="n">
        <x:v>24841.69</x:v>
      </x:c>
      <x:c r="K234" s="16" t="n">
        <x:v>548</x:v>
      </x:c>
      <x:c r="L234" s="16" t="n">
        <x:v>590.92</x:v>
      </x:c>
      <x:c r="M234" s="16" t="n">
        <x:v>532.13</x:v>
      </x:c>
      <x:c r="N234" s="16" t="n">
        <x:v>0.12685776662690118</x:v>
      </x:c>
      <x:c r="O234" s="16" t="n">
        <x:v>0.5199240986717267</x:v>
      </x:c>
    </x:row>
    <x:row r="235">
      <x:c r="A235" s="16" t="str">
        <x:v>Europe</x:v>
      </x:c>
      <x:c r="B235" s="16" t="str">
        <x:v>Consumer</x:v>
      </x:c>
      <x:c r="C235" s="16" t="str">
        <x:v>2017-07</x:v>
      </x:c>
      <x:c r="D235" s="16" t="n">
        <x:v>2817</x:v>
      </x:c>
      <x:c r="E235" s="16" t="n">
        <x:v>938</x:v>
      </x:c>
      <x:c r="F235" s="16" t="n">
        <x:v>5923</x:v>
      </x:c>
      <x:c r="G235" s="16" t="n">
        <x:v>589456.71</x:v>
      </x:c>
      <x:c r="H235" s="16" t="n">
        <x:v>528720.74</x:v>
      </x:c>
      <x:c r="I235" s="16" t="n">
        <x:v>60736.59</x:v>
      </x:c>
      <x:c r="J235" s="16" t="n">
        <x:v>61960.73</x:v>
      </x:c>
      <x:c r="K235" s="16" t="n">
        <x:v>1582</x:v>
      </x:c>
      <x:c r="L235" s="16" t="n">
        <x:v>628.42</x:v>
      </x:c>
      <x:c r="M235" s="16" t="n">
        <x:v>563.67</x:v>
      </x:c>
      <x:c r="N235" s="16" t="n">
        <x:v>0.11718989877340541</x:v>
      </x:c>
      <x:c r="O235" s="16" t="n">
        <x:v>0.5615903443379482</x:v>
      </x:c>
    </x:row>
    <x:row r="236">
      <x:c r="A236" s="16" t="str">
        <x:v>Europe</x:v>
      </x:c>
      <x:c r="B236" s="16" t="str">
        <x:v>Consumer</x:v>
      </x:c>
      <x:c r="C236" s="16" t="str">
        <x:v>2017-08</x:v>
      </x:c>
      <x:c r="D236" s="16" t="n">
        <x:v>2849</x:v>
      </x:c>
      <x:c r="E236" s="16" t="n">
        <x:v>939</x:v>
      </x:c>
      <x:c r="F236" s="16" t="n">
        <x:v>5884</x:v>
      </x:c>
      <x:c r="G236" s="16" t="n">
        <x:v>592000.24</x:v>
      </x:c>
      <x:c r="H236" s="16" t="n">
        <x:v>532142.34</x:v>
      </x:c>
      <x:c r="I236" s="16" t="n">
        <x:v>59858.59</x:v>
      </x:c>
      <x:c r="J236" s="16" t="n">
        <x:v>71638.58</x:v>
      </x:c>
      <x:c r="K236" s="16" t="n">
        <x:v>1619</x:v>
      </x:c>
      <x:c r="L236" s="16" t="n">
        <x:v>630.46</x:v>
      </x:c>
      <x:c r="M236" s="16" t="n">
        <x:v>566.71</x:v>
      </x:c>
      <x:c r="N236" s="16" t="n">
        <x:v>0.13462296572755328</x:v>
      </x:c>
      <x:c r="O236" s="16" t="n">
        <x:v>0.5682695682695683</x:v>
      </x:c>
    </x:row>
    <x:row r="237">
      <x:c r="A237" s="16" t="str">
        <x:v>Europe</x:v>
      </x:c>
      <x:c r="B237" s="16" t="str">
        <x:v>Consumer</x:v>
      </x:c>
      <x:c r="C237" s="16" t="str">
        <x:v>2017-09</x:v>
      </x:c>
      <x:c r="D237" s="16" t="n">
        <x:v>2651</x:v>
      </x:c>
      <x:c r="E237" s="16" t="n">
        <x:v>881</x:v>
      </x:c>
      <x:c r="F237" s="16" t="n">
        <x:v>5478</x:v>
      </x:c>
      <x:c r="G237" s="16" t="n">
        <x:v>588507.7</x:v>
      </x:c>
      <x:c r="H237" s="16" t="n">
        <x:v>529596.54</x:v>
      </x:c>
      <x:c r="I237" s="16" t="n">
        <x:v>58911.7</x:v>
      </x:c>
      <x:c r="J237" s="16" t="n">
        <x:v>61074.84</x:v>
      </x:c>
      <x:c r="K237" s="16" t="n">
        <x:v>1412</x:v>
      </x:c>
      <x:c r="L237" s="16" t="n">
        <x:v>668</x:v>
      </x:c>
      <x:c r="M237" s="16" t="n">
        <x:v>601.13</x:v>
      </x:c>
      <x:c r="N237" s="16" t="n">
        <x:v>0.11532333651575592</x:v>
      </x:c>
      <x:c r="O237" s="16" t="n">
        <x:v>0.5326291965296115</x:v>
      </x:c>
    </x:row>
    <x:row r="238">
      <x:c r="A238" s="16" t="str">
        <x:v>Europe</x:v>
      </x:c>
      <x:c r="B238" s="16" t="str">
        <x:v>Consumer</x:v>
      </x:c>
      <x:c r="C238" s="16" t="str">
        <x:v>2017-10</x:v>
      </x:c>
      <x:c r="D238" s="16" t="n">
        <x:v>1153</x:v>
      </x:c>
      <x:c r="E238" s="16" t="n">
        <x:v>1075</x:v>
      </x:c>
      <x:c r="F238" s="16" t="n">
        <x:v>1269</x:v>
      </x:c>
      <x:c r="G238" s="16" t="n">
        <x:v>562802.93</x:v>
      </x:c>
      <x:c r="H238" s="16" t="n">
        <x:v>507711.61</x:v>
      </x:c>
      <x:c r="I238" s="16" t="n">
        <x:v>55091.84</x:v>
      </x:c>
      <x:c r="J238" s="16" t="n">
        <x:v>67161.68</x:v>
      </x:c>
      <x:c r="K238" s="16" t="n">
        <x:v>640</x:v>
      </x:c>
      <x:c r="L238" s="16" t="n">
        <x:v>523.54</x:v>
      </x:c>
      <x:c r="M238" s="16" t="n">
        <x:v>472.29</x:v>
      </x:c>
      <x:c r="N238" s="16" t="n">
        <x:v>0.13228312821130878</x:v>
      </x:c>
      <x:c r="O238" s="16" t="n">
        <x:v>0.5550737207285342</x:v>
      </x:c>
    </x:row>
    <x:row r="239">
      <x:c r="A239" s="16" t="str">
        <x:v>Europe</x:v>
      </x:c>
      <x:c r="B239" s="16" t="str">
        <x:v>Consumer</x:v>
      </x:c>
      <x:c r="C239" s="16" t="str">
        <x:v>2017-11</x:v>
      </x:c>
      <x:c r="D239" s="16" t="n">
        <x:v>385</x:v>
      </x:c>
      <x:c r="E239" s="16" t="n">
        <x:v>385</x:v>
      </x:c>
      <x:c r="F239" s="16" t="n">
        <x:v>385</x:v>
      </x:c>
      <x:c r="G239" s="16" t="n">
        <x:v>114665.9</x:v>
      </x:c>
      <x:c r="H239" s="16" t="n">
        <x:v>102773.45</x:v>
      </x:c>
      <x:c r="I239" s="16" t="n">
        <x:v>11892.51</x:v>
      </x:c>
      <x:c r="J239" s="16" t="n">
        <x:v>10305.13</x:v>
      </x:c>
      <x:c r="K239" s="16" t="n">
        <x:v>217</x:v>
      </x:c>
      <x:c r="L239" s="16" t="n">
        <x:v>297.83</x:v>
      </x:c>
      <x:c r="M239" s="16" t="n">
        <x:v>266.94</x:v>
      </x:c>
      <x:c r="N239" s="16" t="n">
        <x:v>0.10027035192454863</x:v>
      </x:c>
      <x:c r="O239" s="16" t="n">
        <x:v>0.5636363636363636</x:v>
      </x:c>
    </x:row>
    <x:row r="240">
      <x:c r="A240" s="16" t="str">
        <x:v>Europe</x:v>
      </x:c>
      <x:c r="B240" s="16" t="str">
        <x:v>Corporate</x:v>
      </x:c>
      <x:c r="C240" s="16" t="str">
        <x:v>2015-05</x:v>
      </x:c>
      <x:c r="D240" s="16" t="n">
        <x:v>46</x:v>
      </x:c>
      <x:c r="E240" s="16" t="n">
        <x:v>13</x:v>
      </x:c>
      <x:c r="F240" s="16" t="n">
        <x:v>106</x:v>
      </x:c>
      <x:c r="G240" s="16" t="n">
        <x:v>8908.78</x:v>
      </x:c>
      <x:c r="H240" s="16" t="n">
        <x:v>7862.51</x:v>
      </x:c>
      <x:c r="I240" s="16" t="n">
        <x:v>1046.29</x:v>
      </x:c>
      <x:c r="J240" s="16" t="n">
        <x:v>1620.43</x:v>
      </x:c>
      <x:c r="K240" s="16" t="n">
        <x:v>34</x:v>
      </x:c>
      <x:c r="L240" s="16" t="n">
        <x:v>685.29</x:v>
      </x:c>
      <x:c r="M240" s="16" t="n">
        <x:v>604.81</x:v>
      </x:c>
      <x:c r="N240" s="16" t="n">
        <x:v>0.20609576331222473</x:v>
      </x:c>
      <x:c r="O240" s="16" t="n">
        <x:v>0.7391304347826086</x:v>
      </x:c>
    </x:row>
    <x:row r="241">
      <x:c r="A241" s="16" t="str">
        <x:v>Europe</x:v>
      </x:c>
      <x:c r="B241" s="16" t="str">
        <x:v>Corporate</x:v>
      </x:c>
      <x:c r="C241" s="16" t="str">
        <x:v>2015-06</x:v>
      </x:c>
      <x:c r="D241" s="16" t="n">
        <x:v>1559</x:v>
      </x:c>
      <x:c r="E241" s="16" t="n">
        <x:v>522</x:v>
      </x:c>
      <x:c r="F241" s="16" t="n">
        <x:v>3352</x:v>
      </x:c>
      <x:c r="G241" s="16" t="n">
        <x:v>313304.13</x:v>
      </x:c>
      <x:c r="H241" s="16" t="n">
        <x:v>281780.59</x:v>
      </x:c>
      <x:c r="I241" s="16" t="n">
        <x:v>31523.87</x:v>
      </x:c>
      <x:c r="J241" s="16" t="n">
        <x:v>32140.53</x:v>
      </x:c>
      <x:c r="K241" s="16" t="n">
        <x:v>769</x:v>
      </x:c>
      <x:c r="L241" s="16" t="n">
        <x:v>600.2</x:v>
      </x:c>
      <x:c r="M241" s="16" t="n">
        <x:v>539.81</x:v>
      </x:c>
      <x:c r="N241" s="16" t="n">
        <x:v>0.11406225673670424</x:v>
      </x:c>
      <x:c r="O241" s="16" t="n">
        <x:v>0.4932649134060295</x:v>
      </x:c>
    </x:row>
    <x:row r="242">
      <x:c r="A242" s="16" t="str">
        <x:v>Europe</x:v>
      </x:c>
      <x:c r="B242" s="16" t="str">
        <x:v>Corporate</x:v>
      </x:c>
      <x:c r="C242" s="16" t="str">
        <x:v>2015-07</x:v>
      </x:c>
      <x:c r="D242" s="16" t="n">
        <x:v>1668</x:v>
      </x:c>
      <x:c r="E242" s="16" t="n">
        <x:v>551</x:v>
      </x:c>
      <x:c r="F242" s="16" t="n">
        <x:v>3725</x:v>
      </x:c>
      <x:c r="G242" s="16" t="n">
        <x:v>330451.75</x:v>
      </x:c>
      <x:c r="H242" s="16" t="n">
        <x:v>297649.56</x:v>
      </x:c>
      <x:c r="I242" s="16" t="n">
        <x:v>32802.55</x:v>
      </x:c>
      <x:c r="J242" s="16" t="n">
        <x:v>38642.24</x:v>
      </x:c>
      <x:c r="K242" s="16" t="n">
        <x:v>950</x:v>
      </x:c>
      <x:c r="L242" s="16" t="n">
        <x:v>599.73</x:v>
      </x:c>
      <x:c r="M242" s="16" t="n">
        <x:v>540.2</x:v>
      </x:c>
      <x:c r="N242" s="16" t="n">
        <x:v>0.1298246165725896</x:v>
      </x:c>
      <x:c r="O242" s="16" t="n">
        <x:v>0.5695443645083933</x:v>
      </x:c>
    </x:row>
    <x:row r="243">
      <x:c r="A243" s="16" t="str">
        <x:v>Europe</x:v>
      </x:c>
      <x:c r="B243" s="16" t="str">
        <x:v>Corporate</x:v>
      </x:c>
      <x:c r="C243" s="16" t="str">
        <x:v>2015-08</x:v>
      </x:c>
      <x:c r="D243" s="16" t="n">
        <x:v>1651</x:v>
      </x:c>
      <x:c r="E243" s="16" t="n">
        <x:v>551</x:v>
      </x:c>
      <x:c r="F243" s="16" t="n">
        <x:v>3583</x:v>
      </x:c>
      <x:c r="G243" s="16" t="n">
        <x:v>322081.07</x:v>
      </x:c>
      <x:c r="H243" s="16" t="n">
        <x:v>289370.15</x:v>
      </x:c>
      <x:c r="I243" s="16" t="n">
        <x:v>32711.33</x:v>
      </x:c>
      <x:c r="J243" s="16" t="n">
        <x:v>44385.42</x:v>
      </x:c>
      <x:c r="K243" s="16" t="n">
        <x:v>949</x:v>
      </x:c>
      <x:c r="L243" s="16" t="n">
        <x:v>584.54</x:v>
      </x:c>
      <x:c r="M243" s="16" t="n">
        <x:v>525.17</x:v>
      </x:c>
      <x:c r="N243" s="16" t="n">
        <x:v>0.15338631161507155</x:v>
      </x:c>
      <x:c r="O243" s="16" t="n">
        <x:v>0.5748031496062992</x:v>
      </x:c>
    </x:row>
    <x:row r="244">
      <x:c r="A244" s="16" t="str">
        <x:v>Europe</x:v>
      </x:c>
      <x:c r="B244" s="16" t="str">
        <x:v>Corporate</x:v>
      </x:c>
      <x:c r="C244" s="16" t="str">
        <x:v>2015-09</x:v>
      </x:c>
      <x:c r="D244" s="16" t="n">
        <x:v>1541</x:v>
      </x:c>
      <x:c r="E244" s="16" t="n">
        <x:v>506</x:v>
      </x:c>
      <x:c r="F244" s="16" t="n">
        <x:v>3402</x:v>
      </x:c>
      <x:c r="G244" s="16" t="n">
        <x:v>306729.01</x:v>
      </x:c>
      <x:c r="H244" s="16" t="n">
        <x:v>276123.44</x:v>
      </x:c>
      <x:c r="I244" s="16" t="n">
        <x:v>30605.88</x:v>
      </x:c>
      <x:c r="J244" s="16" t="n">
        <x:v>26945.32</x:v>
      </x:c>
      <x:c r="K244" s="16" t="n">
        <x:v>832</x:v>
      </x:c>
      <x:c r="L244" s="16" t="n">
        <x:v>606.18</x:v>
      </x:c>
      <x:c r="M244" s="16" t="n">
        <x:v>545.7</x:v>
      </x:c>
      <x:c r="N244" s="16" t="n">
        <x:v>0.09758432677790774</x:v>
      </x:c>
      <x:c r="O244" s="16" t="n">
        <x:v>0.5399091499026606</x:v>
      </x:c>
    </x:row>
    <x:row r="245">
      <x:c r="A245" s="16" t="str">
        <x:v>Europe</x:v>
      </x:c>
      <x:c r="B245" s="16" t="str">
        <x:v>Corporate</x:v>
      </x:c>
      <x:c r="C245" s="16" t="str">
        <x:v>2015-10</x:v>
      </x:c>
      <x:c r="D245" s="16" t="n">
        <x:v>1248</x:v>
      </x:c>
      <x:c r="E245" s="16" t="n">
        <x:v>411</x:v>
      </x:c>
      <x:c r="F245" s="16" t="n">
        <x:v>2758</x:v>
      </x:c>
      <x:c r="G245" s="16" t="n">
        <x:v>245989.45</x:v>
      </x:c>
      <x:c r="H245" s="16" t="n">
        <x:v>221293.19</x:v>
      </x:c>
      <x:c r="I245" s="16" t="n">
        <x:v>24696.55</x:v>
      </x:c>
      <x:c r="J245" s="16" t="n">
        <x:v>26363.04</x:v>
      </x:c>
      <x:c r="K245" s="16" t="n">
        <x:v>643</x:v>
      </x:c>
      <x:c r="L245" s="16" t="n">
        <x:v>598.51</x:v>
      </x:c>
      <x:c r="M245" s="16" t="n">
        <x:v>538.43</x:v>
      </x:c>
      <x:c r="N245" s="16" t="n">
        <x:v>0.11913172746075015</x:v>
      </x:c>
      <x:c r="O245" s="16" t="n">
        <x:v>0.5152243589743589</x:v>
      </x:c>
    </x:row>
    <x:row r="246">
      <x:c r="A246" s="16" t="str">
        <x:v>Europe</x:v>
      </x:c>
      <x:c r="B246" s="16" t="str">
        <x:v>Corporate</x:v>
      </x:c>
      <x:c r="C246" s="16" t="str">
        <x:v>2016-08</x:v>
      </x:c>
      <x:c r="D246" s="16" t="n">
        <x:v>41</x:v>
      </x:c>
      <x:c r="E246" s="16" t="n">
        <x:v>12</x:v>
      </x:c>
      <x:c r="F246" s="16" t="n">
        <x:v>93</x:v>
      </x:c>
      <x:c r="G246" s="16" t="n">
        <x:v>8676.91</x:v>
      </x:c>
      <x:c r="H246" s="16" t="n">
        <x:v>7855.91</x:v>
      </x:c>
      <x:c r="I246" s="16" t="n">
        <x:v>821.01</x:v>
      </x:c>
      <x:c r="J246" s="16" t="n">
        <x:v>695.03</x:v>
      </x:c>
      <x:c r="K246" s="16" t="n">
        <x:v>9</x:v>
      </x:c>
      <x:c r="L246" s="16" t="n">
        <x:v>723.08</x:v>
      </x:c>
      <x:c r="M246" s="16" t="n">
        <x:v>654.66</x:v>
      </x:c>
      <x:c r="N246" s="16" t="n">
        <x:v>0.08847224573601276</x:v>
      </x:c>
      <x:c r="O246" s="16" t="n">
        <x:v>0.21951219512195122</x:v>
      </x:c>
    </x:row>
    <x:row r="247">
      <x:c r="A247" s="16" t="str">
        <x:v>Europe</x:v>
      </x:c>
      <x:c r="B247" s="16" t="str">
        <x:v>Corporate</x:v>
      </x:c>
      <x:c r="C247" s="16" t="str">
        <x:v>2016-09</x:v>
      </x:c>
      <x:c r="D247" s="16" t="n">
        <x:v>230</x:v>
      </x:c>
      <x:c r="E247" s="16" t="n">
        <x:v>81</x:v>
      </x:c>
      <x:c r="F247" s="16" t="n">
        <x:v>502</x:v>
      </x:c>
      <x:c r="G247" s="16" t="n">
        <x:v>45075.53</x:v>
      </x:c>
      <x:c r="H247" s="16" t="n">
        <x:v>40360.45</x:v>
      </x:c>
      <x:c r="I247" s="16" t="n">
        <x:v>4715.17</x:v>
      </x:c>
      <x:c r="J247" s="16" t="n">
        <x:v>6872.24</x:v>
      </x:c>
      <x:c r="K247" s="16" t="n">
        <x:v>145</x:v>
      </x:c>
      <x:c r="L247" s="16" t="n">
        <x:v>556.49</x:v>
      </x:c>
      <x:c r="M247" s="16" t="n">
        <x:v>498.28</x:v>
      </x:c>
      <x:c r="N247" s="16" t="n">
        <x:v>0.17027163968687167</x:v>
      </x:c>
      <x:c r="O247" s="16" t="n">
        <x:v>0.6304347826086957</x:v>
      </x:c>
    </x:row>
    <x:row r="248">
      <x:c r="A248" s="16" t="str">
        <x:v>Europe</x:v>
      </x:c>
      <x:c r="B248" s="16" t="str">
        <x:v>Corporate</x:v>
      </x:c>
      <x:c r="C248" s="16" t="str">
        <x:v>2016-10</x:v>
      </x:c>
      <x:c r="D248" s="16" t="n">
        <x:v>284</x:v>
      </x:c>
      <x:c r="E248" s="16" t="n">
        <x:v>91</x:v>
      </x:c>
      <x:c r="F248" s="16" t="n">
        <x:v>647</x:v>
      </x:c>
      <x:c r="G248" s="16" t="n">
        <x:v>55703.61</x:v>
      </x:c>
      <x:c r="H248" s="16" t="n">
        <x:v>49891.95</x:v>
      </x:c>
      <x:c r="I248" s="16" t="n">
        <x:v>5811.77</x:v>
      </x:c>
      <x:c r="J248" s="16" t="n">
        <x:v>7138.05</x:v>
      </x:c>
      <x:c r="K248" s="16" t="n">
        <x:v>162</x:v>
      </x:c>
      <x:c r="L248" s="16" t="n">
        <x:v>612.13</x:v>
      </x:c>
      <x:c r="M248" s="16" t="n">
        <x:v>548.26</x:v>
      </x:c>
      <x:c r="N248" s="16" t="n">
        <x:v>0.14307017464741306</x:v>
      </x:c>
      <x:c r="O248" s="16" t="n">
        <x:v>0.5704225352112676</x:v>
      </x:c>
    </x:row>
    <x:row r="249">
      <x:c r="A249" s="16" t="str">
        <x:v>Europe</x:v>
      </x:c>
      <x:c r="B249" s="16" t="str">
        <x:v>Corporate</x:v>
      </x:c>
      <x:c r="C249" s="16" t="str">
        <x:v>2016-11</x:v>
      </x:c>
      <x:c r="D249" s="16" t="n">
        <x:v>336</x:v>
      </x:c>
      <x:c r="E249" s="16" t="n">
        <x:v>108</x:v>
      </x:c>
      <x:c r="F249" s="16" t="n">
        <x:v>734</x:v>
      </x:c>
      <x:c r="G249" s="16" t="n">
        <x:v>64888.29</x:v>
      </x:c>
      <x:c r="H249" s="16" t="n">
        <x:v>58070.73</x:v>
      </x:c>
      <x:c r="I249" s="16" t="n">
        <x:v>6817.68</x:v>
      </x:c>
      <x:c r="J249" s="16" t="n">
        <x:v>3980.31</x:v>
      </x:c>
      <x:c r="K249" s="16" t="n">
        <x:v>179</x:v>
      </x:c>
      <x:c r="L249" s="16" t="n">
        <x:v>600.82</x:v>
      </x:c>
      <x:c r="M249" s="16" t="n">
        <x:v>537.69</x:v>
      </x:c>
      <x:c r="N249" s="16" t="n">
        <x:v>0.06854244814900724</x:v>
      </x:c>
      <x:c r="O249" s="16" t="n">
        <x:v>0.5327380952380952</x:v>
      </x:c>
    </x:row>
    <x:row r="250">
      <x:c r="A250" s="16" t="str">
        <x:v>Europe</x:v>
      </x:c>
      <x:c r="B250" s="16" t="str">
        <x:v>Corporate</x:v>
      </x:c>
      <x:c r="C250" s="16" t="str">
        <x:v>2016-12</x:v>
      </x:c>
      <x:c r="D250" s="16" t="n">
        <x:v>256</x:v>
      </x:c>
      <x:c r="E250" s="16" t="n">
        <x:v>85</x:v>
      </x:c>
      <x:c r="F250" s="16" t="n">
        <x:v>542</x:v>
      </x:c>
      <x:c r="G250" s="16" t="n">
        <x:v>49365.08</x:v>
      </x:c>
      <x:c r="H250" s="16" t="n">
        <x:v>44465.42</x:v>
      </x:c>
      <x:c r="I250" s="16" t="n">
        <x:v>4899.7</x:v>
      </x:c>
      <x:c r="J250" s="16" t="n">
        <x:v>4551.48</x:v>
      </x:c>
      <x:c r="K250" s="16" t="n">
        <x:v>130</x:v>
      </x:c>
      <x:c r="L250" s="16" t="n">
        <x:v>580.77</x:v>
      </x:c>
      <x:c r="M250" s="16" t="n">
        <x:v>523.12</x:v>
      </x:c>
      <x:c r="N250" s="16" t="n">
        <x:v>0.10235999120215215</x:v>
      </x:c>
      <x:c r="O250" s="16" t="n">
        <x:v>0.5078125</x:v>
      </x:c>
    </x:row>
    <x:row r="251">
      <x:c r="A251" s="16" t="str">
        <x:v>Europe</x:v>
      </x:c>
      <x:c r="B251" s="16" t="str">
        <x:v>Corporate</x:v>
      </x:c>
      <x:c r="C251" s="16" t="str">
        <x:v>2017-01</x:v>
      </x:c>
      <x:c r="D251" s="16" t="n">
        <x:v>154</x:v>
      </x:c>
      <x:c r="E251" s="16" t="n">
        <x:v>50</x:v>
      </x:c>
      <x:c r="F251" s="16" t="n">
        <x:v>338</x:v>
      </x:c>
      <x:c r="G251" s="16" t="n">
        <x:v>30802.15</x:v>
      </x:c>
      <x:c r="H251" s="16" t="n">
        <x:v>27907.79</x:v>
      </x:c>
      <x:c r="I251" s="16" t="n">
        <x:v>2894.4</x:v>
      </x:c>
      <x:c r="J251" s="16" t="n">
        <x:v>3223.99</x:v>
      </x:c>
      <x:c r="K251" s="16" t="n">
        <x:v>86</x:v>
      </x:c>
      <x:c r="L251" s="16" t="n">
        <x:v>616.04</x:v>
      </x:c>
      <x:c r="M251" s="16" t="n">
        <x:v>558.16</x:v>
      </x:c>
      <x:c r="N251" s="16" t="n">
        <x:v>0.11552294180227099</x:v>
      </x:c>
      <x:c r="O251" s="16" t="n">
        <x:v>0.5584415584415584</x:v>
      </x:c>
    </x:row>
    <x:row r="252">
      <x:c r="A252" s="16" t="str">
        <x:v>Europe</x:v>
      </x:c>
      <x:c r="B252" s="16" t="str">
        <x:v>Corporate</x:v>
      </x:c>
      <x:c r="C252" s="16" t="str">
        <x:v>2017-06</x:v>
      </x:c>
      <x:c r="D252" s="16" t="n">
        <x:v>682</x:v>
      </x:c>
      <x:c r="E252" s="16" t="n">
        <x:v>230</x:v>
      </x:c>
      <x:c r="F252" s="16" t="n">
        <x:v>1428</x:v>
      </x:c>
      <x:c r="G252" s="16" t="n">
        <x:v>144628.48</x:v>
      </x:c>
      <x:c r="H252" s="16" t="n">
        <x:v>129660.46</x:v>
      </x:c>
      <x:c r="I252" s="16" t="n">
        <x:v>14968.18</x:v>
      </x:c>
      <x:c r="J252" s="16" t="n">
        <x:v>10027.45</x:v>
      </x:c>
      <x:c r="K252" s="16" t="n">
        <x:v>352</x:v>
      </x:c>
      <x:c r="L252" s="16" t="n">
        <x:v>628.82</x:v>
      </x:c>
      <x:c r="M252" s="16" t="n">
        <x:v>563.74</x:v>
      </x:c>
      <x:c r="N252" s="16" t="n">
        <x:v>0.07733622108081369</x:v>
      </x:c>
      <x:c r="O252" s="16" t="n">
        <x:v>0.5161290322580645</x:v>
      </x:c>
    </x:row>
    <x:row r="253">
      <x:c r="A253" s="16" t="str">
        <x:v>Europe</x:v>
      </x:c>
      <x:c r="B253" s="16" t="str">
        <x:v>Corporate</x:v>
      </x:c>
      <x:c r="C253" s="16" t="str">
        <x:v>2017-07</x:v>
      </x:c>
      <x:c r="D253" s="16" t="n">
        <x:v>1614</x:v>
      </x:c>
      <x:c r="E253" s="16" t="n">
        <x:v>534</x:v>
      </x:c>
      <x:c r="F253" s="16" t="n">
        <x:v>3374</x:v>
      </x:c>
      <x:c r="G253" s="16" t="n">
        <x:v>334417.82</x:v>
      </x:c>
      <x:c r="H253" s="16" t="n">
        <x:v>301177.72</x:v>
      </x:c>
      <x:c r="I253" s="16" t="n">
        <x:v>33240.52</x:v>
      </x:c>
      <x:c r="J253" s="16" t="n">
        <x:v>35079.94</x:v>
      </x:c>
      <x:c r="K253" s="16" t="n">
        <x:v>860</x:v>
      </x:c>
      <x:c r="L253" s="16" t="n">
        <x:v>626.25</x:v>
      </x:c>
      <x:c r="M253" s="16" t="n">
        <x:v>564</x:v>
      </x:c>
      <x:c r="N253" s="16" t="n">
        <x:v>0.11647588008834119</x:v>
      </x:c>
      <x:c r="O253" s="16" t="n">
        <x:v>0.5328376703841388</x:v>
      </x:c>
    </x:row>
    <x:row r="254">
      <x:c r="A254" s="16" t="str">
        <x:v>Europe</x:v>
      </x:c>
      <x:c r="B254" s="16" t="str">
        <x:v>Corporate</x:v>
      </x:c>
      <x:c r="C254" s="16" t="str">
        <x:v>2017-08</x:v>
      </x:c>
      <x:c r="D254" s="16" t="n">
        <x:v>1550</x:v>
      </x:c>
      <x:c r="E254" s="16" t="n">
        <x:v>520</x:v>
      </x:c>
      <x:c r="F254" s="16" t="n">
        <x:v>3274</x:v>
      </x:c>
      <x:c r="G254" s="16" t="n">
        <x:v>322278.55</x:v>
      </x:c>
      <x:c r="H254" s="16" t="n">
        <x:v>289744.06</x:v>
      </x:c>
      <x:c r="I254" s="16" t="n">
        <x:v>32534.89</x:v>
      </x:c>
      <x:c r="J254" s="16" t="n">
        <x:v>34726.6</x:v>
      </x:c>
      <x:c r="K254" s="16" t="n">
        <x:v>883</x:v>
      </x:c>
      <x:c r="L254" s="16" t="n">
        <x:v>619.77</x:v>
      </x:c>
      <x:c r="M254" s="16" t="n">
        <x:v>557.2</x:v>
      </x:c>
      <x:c r="N254" s="16" t="n">
        <x:v>0.11985267273468868</x:v>
      </x:c>
      <x:c r="O254" s="16" t="n">
        <x:v>0.5696774193548387</x:v>
      </x:c>
    </x:row>
    <x:row r="255">
      <x:c r="A255" s="16" t="str">
        <x:v>Europe</x:v>
      </x:c>
      <x:c r="B255" s="16" t="str">
        <x:v>Corporate</x:v>
      </x:c>
      <x:c r="C255" s="16" t="str">
        <x:v>2017-09</x:v>
      </x:c>
      <x:c r="D255" s="16" t="n">
        <x:v>1557</x:v>
      </x:c>
      <x:c r="E255" s="16" t="n">
        <x:v>508</x:v>
      </x:c>
      <x:c r="F255" s="16" t="n">
        <x:v>3092</x:v>
      </x:c>
      <x:c r="G255" s="16" t="n">
        <x:v>340644.34</x:v>
      </x:c>
      <x:c r="H255" s="16" t="n">
        <x:v>305178.69</x:v>
      </x:c>
      <x:c r="I255" s="16" t="n">
        <x:v>35466.05</x:v>
      </x:c>
      <x:c r="J255" s="16" t="n">
        <x:v>37525.68</x:v>
      </x:c>
      <x:c r="K255" s="16" t="n">
        <x:v>860</x:v>
      </x:c>
      <x:c r="L255" s="16" t="n">
        <x:v>670.56</x:v>
      </x:c>
      <x:c r="M255" s="16" t="n">
        <x:v>600.75</x:v>
      </x:c>
      <x:c r="N255" s="16" t="n">
        <x:v>0.1229629762156722</x:v>
      </x:c>
      <x:c r="O255" s="16" t="n">
        <x:v>0.552344251766217</x:v>
      </x:c>
    </x:row>
    <x:row r="256">
      <x:c r="A256" s="16" t="str">
        <x:v>Europe</x:v>
      </x:c>
      <x:c r="B256" s="16" t="str">
        <x:v>Corporate</x:v>
      </x:c>
      <x:c r="C256" s="16" t="str">
        <x:v>2017-10</x:v>
      </x:c>
      <x:c r="D256" s="16" t="n">
        <x:v>702</x:v>
      </x:c>
      <x:c r="E256" s="16" t="n">
        <x:v>650</x:v>
      </x:c>
      <x:c r="F256" s="16" t="n">
        <x:v>776</x:v>
      </x:c>
      <x:c r="G256" s="16" t="n">
        <x:v>321969.64</x:v>
      </x:c>
      <x:c r="H256" s="16" t="n">
        <x:v>288162.12</x:v>
      </x:c>
      <x:c r="I256" s="16" t="n">
        <x:v>33807.79</x:v>
      </x:c>
      <x:c r="J256" s="16" t="n">
        <x:v>35376.79</x:v>
      </x:c>
      <x:c r="K256" s="16" t="n">
        <x:v>354</x:v>
      </x:c>
      <x:c r="L256" s="16" t="n">
        <x:v>495.34</x:v>
      </x:c>
      <x:c r="M256" s="16" t="n">
        <x:v>443.33</x:v>
      </x:c>
      <x:c r="N256" s="16" t="n">
        <x:v>0.12276696881602621</x:v>
      </x:c>
      <x:c r="O256" s="16" t="n">
        <x:v>0.5042735042735043</x:v>
      </x:c>
    </x:row>
    <x:row r="257">
      <x:c r="A257" s="16" t="str">
        <x:v>Europe</x:v>
      </x:c>
      <x:c r="B257" s="16" t="str">
        <x:v>Corporate</x:v>
      </x:c>
      <x:c r="C257" s="16" t="str">
        <x:v>2017-11</x:v>
      </x:c>
      <x:c r="D257" s="16" t="n">
        <x:v>194</x:v>
      </x:c>
      <x:c r="E257" s="16" t="n">
        <x:v>194</x:v>
      </x:c>
      <x:c r="F257" s="16" t="n">
        <x:v>194</x:v>
      </x:c>
      <x:c r="G257" s="16" t="n">
        <x:v>57156.02</x:v>
      </x:c>
      <x:c r="H257" s="16" t="n">
        <x:v>51748.97</x:v>
      </x:c>
      <x:c r="I257" s="16" t="n">
        <x:v>5407.08</x:v>
      </x:c>
      <x:c r="J257" s="16" t="n">
        <x:v>6117.58</x:v>
      </x:c>
      <x:c r="K257" s="16" t="n">
        <x:v>93</x:v>
      </x:c>
      <x:c r="L257" s="16" t="n">
        <x:v>294.62</x:v>
      </x:c>
      <x:c r="M257" s="16" t="n">
        <x:v>266.75</x:v>
      </x:c>
      <x:c r="N257" s="16" t="n">
        <x:v>0.11821645918749686</x:v>
      </x:c>
      <x:c r="O257" s="16" t="n">
        <x:v>0.4793814432989691</x:v>
      </x:c>
    </x:row>
    <x:row r="258">
      <x:c r="A258" s="16" t="str">
        <x:v>Europe</x:v>
      </x:c>
      <x:c r="B258" s="16" t="str">
        <x:v>Home Office</x:v>
      </x:c>
      <x:c r="C258" s="16" t="str">
        <x:v>2015-05</x:v>
      </x:c>
      <x:c r="D258" s="16" t="n">
        <x:v>15</x:v>
      </x:c>
      <x:c r="E258" s="16" t="n">
        <x:v>5</x:v>
      </x:c>
      <x:c r="F258" s="16" t="n">
        <x:v>28</x:v>
      </x:c>
      <x:c r="G258" s="16" t="n">
        <x:v>2814.62</x:v>
      </x:c>
      <x:c r="H258" s="16" t="n">
        <x:v>2505.64</x:v>
      </x:c>
      <x:c r="I258" s="16" t="n">
        <x:v>308.98</x:v>
      </x:c>
      <x:c r="J258" s="16" t="n">
        <x:v>-358.1</x:v>
      </x:c>
      <x:c r="K258" s="16" t="n">
        <x:v>7</x:v>
      </x:c>
      <x:c r="L258" s="16" t="n">
        <x:v>562.92</x:v>
      </x:c>
      <x:c r="M258" s="16" t="n">
        <x:v>501.13</x:v>
      </x:c>
      <x:c r="N258" s="16" t="n">
        <x:v>-0.142917577944158</x:v>
      </x:c>
      <x:c r="O258" s="16" t="n">
        <x:v>0.4666666666666667</x:v>
      </x:c>
    </x:row>
    <x:row r="259">
      <x:c r="A259" s="16" t="str">
        <x:v>Europe</x:v>
      </x:c>
      <x:c r="B259" s="16" t="str">
        <x:v>Home Office</x:v>
      </x:c>
      <x:c r="C259" s="16" t="str">
        <x:v>2015-06</x:v>
      </x:c>
      <x:c r="D259" s="16" t="n">
        <x:v>905</x:v>
      </x:c>
      <x:c r="E259" s="16" t="n">
        <x:v>313</x:v>
      </x:c>
      <x:c r="F259" s="16" t="n">
        <x:v>1944</x:v>
      </x:c>
      <x:c r="G259" s="16" t="n">
        <x:v>175454.19</x:v>
      </x:c>
      <x:c r="H259" s="16" t="n">
        <x:v>158704.57</x:v>
      </x:c>
      <x:c r="I259" s="16" t="n">
        <x:v>16749.86</x:v>
      </x:c>
      <x:c r="J259" s="16" t="n">
        <x:v>17243.41</x:v>
      </x:c>
      <x:c r="K259" s="16" t="n">
        <x:v>482</x:v>
      </x:c>
      <x:c r="L259" s="16" t="n">
        <x:v>560.56</x:v>
      </x:c>
      <x:c r="M259" s="16" t="n">
        <x:v>507.04</x:v>
      </x:c>
      <x:c r="N259" s="16" t="n">
        <x:v>0.10865099851882022</x:v>
      </x:c>
      <x:c r="O259" s="16" t="n">
        <x:v>0.532596685082873</x:v>
      </x:c>
    </x:row>
    <x:row r="260">
      <x:c r="A260" s="16" t="str">
        <x:v>Europe</x:v>
      </x:c>
      <x:c r="B260" s="16" t="str">
        <x:v>Home Office</x:v>
      </x:c>
      <x:c r="C260" s="16" t="str">
        <x:v>2015-07</x:v>
      </x:c>
      <x:c r="D260" s="16" t="n">
        <x:v>943</x:v>
      </x:c>
      <x:c r="E260" s="16" t="n">
        <x:v>313</x:v>
      </x:c>
      <x:c r="F260" s="16" t="n">
        <x:v>2130</x:v>
      </x:c>
      <x:c r="G260" s="16" t="n">
        <x:v>180331.99</x:v>
      </x:c>
      <x:c r="H260" s="16" t="n">
        <x:v>161279.09</x:v>
      </x:c>
      <x:c r="I260" s="16" t="n">
        <x:v>19053.2</x:v>
      </x:c>
      <x:c r="J260" s="16" t="n">
        <x:v>15758.58</x:v>
      </x:c>
      <x:c r="K260" s="16" t="n">
        <x:v>537</x:v>
      </x:c>
      <x:c r="L260" s="16" t="n">
        <x:v>576.14</x:v>
      </x:c>
      <x:c r="M260" s="16" t="n">
        <x:v>515.27</x:v>
      </x:c>
      <x:c r="N260" s="16" t="n">
        <x:v>0.09771000071987014</x:v>
      </x:c>
      <x:c r="O260" s="16" t="n">
        <x:v>0.5694591728525981</x:v>
      </x:c>
    </x:row>
    <x:row r="261">
      <x:c r="A261" s="16" t="str">
        <x:v>Europe</x:v>
      </x:c>
      <x:c r="B261" s="16" t="str">
        <x:v>Home Office</x:v>
      </x:c>
      <x:c r="C261" s="16" t="str">
        <x:v>2015-08</x:v>
      </x:c>
      <x:c r="D261" s="16" t="n">
        <x:v>913</x:v>
      </x:c>
      <x:c r="E261" s="16" t="n">
        <x:v>318</x:v>
      </x:c>
      <x:c r="F261" s="16" t="n">
        <x:v>1948</x:v>
      </x:c>
      <x:c r="G261" s="16" t="n">
        <x:v>176719.31</x:v>
      </x:c>
      <x:c r="H261" s="16" t="n">
        <x:v>158967.56</x:v>
      </x:c>
      <x:c r="I261" s="16" t="n">
        <x:v>17751.96</x:v>
      </x:c>
      <x:c r="J261" s="16" t="n">
        <x:v>16930.95</x:v>
      </x:c>
      <x:c r="K261" s="16" t="n">
        <x:v>504</x:v>
      </x:c>
      <x:c r="L261" s="16" t="n">
        <x:v>555.72</x:v>
      </x:c>
      <x:c r="M261" s="16" t="n">
        <x:v>499.9</x:v>
      </x:c>
      <x:c r="N261" s="16" t="n">
        <x:v>0.1065056921047288</x:v>
      </x:c>
      <x:c r="O261" s="16" t="n">
        <x:v>0.552026286966046</x:v>
      </x:c>
    </x:row>
    <x:row r="262">
      <x:c r="A262" s="16" t="str">
        <x:v>Europe</x:v>
      </x:c>
      <x:c r="B262" s="16" t="str">
        <x:v>Home Office</x:v>
      </x:c>
      <x:c r="C262" s="16" t="str">
        <x:v>2015-09</x:v>
      </x:c>
      <x:c r="D262" s="16" t="n">
        <x:v>890</x:v>
      </x:c>
      <x:c r="E262" s="16" t="n">
        <x:v>299</x:v>
      </x:c>
      <x:c r="F262" s="16" t="n">
        <x:v>1993</x:v>
      </x:c>
      <x:c r="G262" s="16" t="n">
        <x:v>176238.44</x:v>
      </x:c>
      <x:c r="H262" s="16" t="n">
        <x:v>156981.31</x:v>
      </x:c>
      <x:c r="I262" s="16" t="n">
        <x:v>19257.47</x:v>
      </x:c>
      <x:c r="J262" s="16" t="n">
        <x:v>18439.51</x:v>
      </x:c>
      <x:c r="K262" s="16" t="n">
        <x:v>508</x:v>
      </x:c>
      <x:c r="L262" s="16" t="n">
        <x:v>589.43</x:v>
      </x:c>
      <x:c r="M262" s="16" t="n">
        <x:v>525.02</x:v>
      </x:c>
      <x:c r="N262" s="16" t="n">
        <x:v>0.1174630916253661</x:v>
      </x:c>
      <x:c r="O262" s="16" t="n">
        <x:v>0.5707865168539326</x:v>
      </x:c>
    </x:row>
    <x:row r="263">
      <x:c r="A263" s="16" t="str">
        <x:v>Europe</x:v>
      </x:c>
      <x:c r="B263" s="16" t="str">
        <x:v>Home Office</x:v>
      </x:c>
      <x:c r="C263" s="16" t="str">
        <x:v>2015-10</x:v>
      </x:c>
      <x:c r="D263" s="16" t="n">
        <x:v>720</x:v>
      </x:c>
      <x:c r="E263" s="16" t="n">
        <x:v>242</x:v>
      </x:c>
      <x:c r="F263" s="16" t="n">
        <x:v>1600</x:v>
      </x:c>
      <x:c r="G263" s="16" t="n">
        <x:v>142153.31</x:v>
      </x:c>
      <x:c r="H263" s="16" t="n">
        <x:v>127801.56</x:v>
      </x:c>
      <x:c r="I263" s="16" t="n">
        <x:v>14351.9</x:v>
      </x:c>
      <x:c r="J263" s="16" t="n">
        <x:v>16636.67</x:v>
      </x:c>
      <x:c r="K263" s="16" t="n">
        <x:v>412</x:v>
      </x:c>
      <x:c r="L263" s="16" t="n">
        <x:v>587.41</x:v>
      </x:c>
      <x:c r="M263" s="16" t="n">
        <x:v>528.11</x:v>
      </x:c>
      <x:c r="N263" s="16" t="n">
        <x:v>0.13017579754112546</x:v>
      </x:c>
      <x:c r="O263" s="16" t="n">
        <x:v>0.5722222222222222</x:v>
      </x:c>
    </x:row>
    <x:row r="264">
      <x:c r="A264" s="16" t="str">
        <x:v>Europe</x:v>
      </x:c>
      <x:c r="B264" s="16" t="str">
        <x:v>Home Office</x:v>
      </x:c>
      <x:c r="C264" s="16" t="str">
        <x:v>2016-08</x:v>
      </x:c>
      <x:c r="D264" s="16" t="n">
        <x:v>15</x:v>
      </x:c>
      <x:c r="E264" s="16" t="n">
        <x:v>4</x:v>
      </x:c>
      <x:c r="F264" s="16" t="n">
        <x:v>27</x:v>
      </x:c>
      <x:c r="G264" s="16" t="n">
        <x:v>3039.69</x:v>
      </x:c>
      <x:c r="H264" s="16" t="n">
        <x:v>2661.56</x:v>
      </x:c>
      <x:c r="I264" s="16" t="n">
        <x:v>378.13</x:v>
      </x:c>
      <x:c r="J264" s="16" t="n">
        <x:v>-27.73</x:v>
      </x:c>
      <x:c r="K264" s="16" t="n">
        <x:v>11</x:v>
      </x:c>
      <x:c r="L264" s="16" t="n">
        <x:v>759.92</x:v>
      </x:c>
      <x:c r="M264" s="16" t="n">
        <x:v>665.39</x:v>
      </x:c>
      <x:c r="N264" s="16" t="n">
        <x:v>-0.01041870181397376</x:v>
      </x:c>
      <x:c r="O264" s="16" t="n">
        <x:v>0.7333333333333333</x:v>
      </x:c>
    </x:row>
    <x:row r="265">
      <x:c r="A265" s="16" t="str">
        <x:v>Europe</x:v>
      </x:c>
      <x:c r="B265" s="16" t="str">
        <x:v>Home Office</x:v>
      </x:c>
      <x:c r="C265" s="16" t="str">
        <x:v>2016-09</x:v>
      </x:c>
      <x:c r="D265" s="16" t="n">
        <x:v>164</x:v>
      </x:c>
      <x:c r="E265" s="16" t="n">
        <x:v>57</x:v>
      </x:c>
      <x:c r="F265" s="16" t="n">
        <x:v>359</x:v>
      </x:c>
      <x:c r="G265" s="16" t="n">
        <x:v>31189.3</x:v>
      </x:c>
      <x:c r="H265" s="16" t="n">
        <x:v>28072.28</x:v>
      </x:c>
      <x:c r="I265" s="16" t="n">
        <x:v>3117.05</x:v>
      </x:c>
      <x:c r="J265" s="16" t="n">
        <x:v>2824.3</x:v>
      </x:c>
      <x:c r="K265" s="16" t="n">
        <x:v>102</x:v>
      </x:c>
      <x:c r="L265" s="16" t="n">
        <x:v>547.18</x:v>
      </x:c>
      <x:c r="M265" s="16" t="n">
        <x:v>492.5</x:v>
      </x:c>
      <x:c r="N265" s="16" t="n">
        <x:v>0.1006081444043733</x:v>
      </x:c>
      <x:c r="O265" s="16" t="n">
        <x:v>0.6219512195121951</x:v>
      </x:c>
    </x:row>
    <x:row r="266">
      <x:c r="A266" s="16" t="str">
        <x:v>Europe</x:v>
      </x:c>
      <x:c r="B266" s="16" t="str">
        <x:v>Home Office</x:v>
      </x:c>
      <x:c r="C266" s="16" t="str">
        <x:v>2016-10</x:v>
      </x:c>
      <x:c r="D266" s="16" t="n">
        <x:v>133</x:v>
      </x:c>
      <x:c r="E266" s="16" t="n">
        <x:v>45</x:v>
      </x:c>
      <x:c r="F266" s="16" t="n">
        <x:v>320</x:v>
      </x:c>
      <x:c r="G266" s="16" t="n">
        <x:v>26058.54</x:v>
      </x:c>
      <x:c r="H266" s="16" t="n">
        <x:v>23495.86</x:v>
      </x:c>
      <x:c r="I266" s="16" t="n">
        <x:v>2562.73</x:v>
      </x:c>
      <x:c r="J266" s="16" t="n">
        <x:v>2434.78</x:v>
      </x:c>
      <x:c r="K266" s="16" t="n">
        <x:v>76</x:v>
      </x:c>
      <x:c r="L266" s="16" t="n">
        <x:v>579.08</x:v>
      </x:c>
      <x:c r="M266" s="16" t="n">
        <x:v>522.13</x:v>
      </x:c>
      <x:c r="N266" s="16" t="n">
        <x:v>0.10362591537402759</x:v>
      </x:c>
      <x:c r="O266" s="16" t="n">
        <x:v>0.5714285714285714</x:v>
      </x:c>
    </x:row>
    <x:row r="267">
      <x:c r="A267" s="16" t="str">
        <x:v>Europe</x:v>
      </x:c>
      <x:c r="B267" s="16" t="str">
        <x:v>Home Office</x:v>
      </x:c>
      <x:c r="C267" s="16" t="str">
        <x:v>2016-11</x:v>
      </x:c>
      <x:c r="D267" s="16" t="n">
        <x:v>139</x:v>
      </x:c>
      <x:c r="E267" s="16" t="n">
        <x:v>47</x:v>
      </x:c>
      <x:c r="F267" s="16" t="n">
        <x:v>322</x:v>
      </x:c>
      <x:c r="G267" s="16" t="n">
        <x:v>27328.73</x:v>
      </x:c>
      <x:c r="H267" s="16" t="n">
        <x:v>24877.68</x:v>
      </x:c>
      <x:c r="I267" s="16" t="n">
        <x:v>2451.06</x:v>
      </x:c>
      <x:c r="J267" s="16" t="n">
        <x:v>2466.58</x:v>
      </x:c>
      <x:c r="K267" s="16" t="n">
        <x:v>82</x:v>
      </x:c>
      <x:c r="L267" s="16" t="n">
        <x:v>581.46</x:v>
      </x:c>
      <x:c r="M267" s="16" t="n">
        <x:v>529.31</x:v>
      </x:c>
      <x:c r="N267" s="16" t="n">
        <x:v>0.09914831286518679</x:v>
      </x:c>
      <x:c r="O267" s="16" t="n">
        <x:v>0.5899280575539568</x:v>
      </x:c>
    </x:row>
    <x:row r="268">
      <x:c r="A268" s="16" t="str">
        <x:v>Europe</x:v>
      </x:c>
      <x:c r="B268" s="16" t="str">
        <x:v>Home Office</x:v>
      </x:c>
      <x:c r="C268" s="16" t="str">
        <x:v>2016-12</x:v>
      </x:c>
      <x:c r="D268" s="16" t="n">
        <x:v>162</x:v>
      </x:c>
      <x:c r="E268" s="16" t="n">
        <x:v>55</x:v>
      </x:c>
      <x:c r="F268" s="16" t="n">
        <x:v>359</x:v>
      </x:c>
      <x:c r="G268" s="16" t="n">
        <x:v>30675.12</x:v>
      </x:c>
      <x:c r="H268" s="16" t="n">
        <x:v>27332.15</x:v>
      </x:c>
      <x:c r="I268" s="16" t="n">
        <x:v>3343.02</x:v>
      </x:c>
      <x:c r="J268" s="16" t="n">
        <x:v>3961.6</x:v>
      </x:c>
      <x:c r="K268" s="16" t="n">
        <x:v>87</x:v>
      </x:c>
      <x:c r="L268" s="16" t="n">
        <x:v>557.73</x:v>
      </x:c>
      <x:c r="M268" s="16" t="n">
        <x:v>496.95</x:v>
      </x:c>
      <x:c r="N268" s="16" t="n">
        <x:v>0.14494286033114848</x:v>
      </x:c>
      <x:c r="O268" s="16" t="n">
        <x:v>0.5370370370370371</x:v>
      </x:c>
    </x:row>
    <x:row r="269">
      <x:c r="A269" s="16" t="str">
        <x:v>Europe</x:v>
      </x:c>
      <x:c r="B269" s="16" t="str">
        <x:v>Home Office</x:v>
      </x:c>
      <x:c r="C269" s="16" t="str">
        <x:v>2017-01</x:v>
      </x:c>
      <x:c r="D269" s="16" t="n">
        <x:v>137</x:v>
      </x:c>
      <x:c r="E269" s="16" t="n">
        <x:v>45</x:v>
      </x:c>
      <x:c r="F269" s="16" t="n">
        <x:v>302</x:v>
      </x:c>
      <x:c r="G269" s="16" t="n">
        <x:v>28088.14</x:v>
      </x:c>
      <x:c r="H269" s="16" t="n">
        <x:v>25056.75</x:v>
      </x:c>
      <x:c r="I269" s="16" t="n">
        <x:v>3031.42</x:v>
      </x:c>
      <x:c r="J269" s="16" t="n">
        <x:v>3276.87</x:v>
      </x:c>
      <x:c r="K269" s="16" t="n">
        <x:v>76</x:v>
      </x:c>
      <x:c r="L269" s="16" t="n">
        <x:v>624.18</x:v>
      </x:c>
      <x:c r="M269" s="16" t="n">
        <x:v>556.82</x:v>
      </x:c>
      <x:c r="N269" s="16" t="n">
        <x:v>0.13077793408961658</x:v>
      </x:c>
      <x:c r="O269" s="16" t="n">
        <x:v>0.5547445255474452</x:v>
      </x:c>
    </x:row>
    <x:row r="270">
      <x:c r="A270" s="16" t="str">
        <x:v>Europe</x:v>
      </x:c>
      <x:c r="B270" s="16" t="str">
        <x:v>Home Office</x:v>
      </x:c>
      <x:c r="C270" s="16" t="str">
        <x:v>2017-06</x:v>
      </x:c>
      <x:c r="D270" s="16" t="n">
        <x:v>418</x:v>
      </x:c>
      <x:c r="E270" s="16" t="n">
        <x:v>136</x:v>
      </x:c>
      <x:c r="F270" s="16" t="n">
        <x:v>906</x:v>
      </x:c>
      <x:c r="G270" s="16" t="n">
        <x:v>88466.21</x:v>
      </x:c>
      <x:c r="H270" s="16" t="n">
        <x:v>79127.48</x:v>
      </x:c>
      <x:c r="I270" s="16" t="n">
        <x:v>9338.82</x:v>
      </x:c>
      <x:c r="J270" s="16" t="n">
        <x:v>8512.85</x:v>
      </x:c>
      <x:c r="K270" s="16" t="n">
        <x:v>251</x:v>
      </x:c>
      <x:c r="L270" s="16" t="n">
        <x:v>650.49</x:v>
      </x:c>
      <x:c r="M270" s="16" t="n">
        <x:v>581.82</x:v>
      </x:c>
      <x:c r="N270" s="16" t="n">
        <x:v>0.1075839897845856</x:v>
      </x:c>
      <x:c r="O270" s="16" t="n">
        <x:v>0.6004784688995215</x:v>
      </x:c>
    </x:row>
    <x:row r="271">
      <x:c r="A271" s="16" t="str">
        <x:v>Europe</x:v>
      </x:c>
      <x:c r="B271" s="16" t="str">
        <x:v>Home Office</x:v>
      </x:c>
      <x:c r="C271" s="16" t="str">
        <x:v>2017-07</x:v>
      </x:c>
      <x:c r="D271" s="16" t="n">
        <x:v>887</x:v>
      </x:c>
      <x:c r="E271" s="16" t="n">
        <x:v>304</x:v>
      </x:c>
      <x:c r="F271" s="16" t="n">
        <x:v>1794</x:v>
      </x:c>
      <x:c r="G271" s="16" t="n">
        <x:v>180498.81</x:v>
      </x:c>
      <x:c r="H271" s="16" t="n">
        <x:v>162524.96</x:v>
      </x:c>
      <x:c r="I271" s="16" t="n">
        <x:v>17974.05</x:v>
      </x:c>
      <x:c r="J271" s="16" t="n">
        <x:v>15986.03</x:v>
      </x:c>
      <x:c r="K271" s="16" t="n">
        <x:v>471</x:v>
      </x:c>
      <x:c r="L271" s="16" t="n">
        <x:v>593.75</x:v>
      </x:c>
      <x:c r="M271" s="16" t="n">
        <x:v>534.62</x:v>
      </x:c>
      <x:c r="N271" s="16" t="n">
        <x:v>0.09836046106394981</x:v>
      </x:c>
      <x:c r="O271" s="16" t="n">
        <x:v>0.5310033821871477</x:v>
      </x:c>
    </x:row>
    <x:row r="272">
      <x:c r="A272" s="16" t="str">
        <x:v>Europe</x:v>
      </x:c>
      <x:c r="B272" s="16" t="str">
        <x:v>Home Office</x:v>
      </x:c>
      <x:c r="C272" s="16" t="str">
        <x:v>2017-08</x:v>
      </x:c>
      <x:c r="D272" s="16" t="n">
        <x:v>906</x:v>
      </x:c>
      <x:c r="E272" s="16" t="n">
        <x:v>309</x:v>
      </x:c>
      <x:c r="F272" s="16" t="n">
        <x:v>1937</x:v>
      </x:c>
      <x:c r="G272" s="16" t="n">
        <x:v>195058.36</x:v>
      </x:c>
      <x:c r="H272" s="16" t="n">
        <x:v>174621.47</x:v>
      </x:c>
      <x:c r="I272" s="16" t="n">
        <x:v>20437.08</x:v>
      </x:c>
      <x:c r="J272" s="16" t="n">
        <x:v>25135.98</x:v>
      </x:c>
      <x:c r="K272" s="16" t="n">
        <x:v>492</x:v>
      </x:c>
      <x:c r="L272" s="16" t="n">
        <x:v>631.26</x:v>
      </x:c>
      <x:c r="M272" s="16" t="n">
        <x:v>565.12</x:v>
      </x:c>
      <x:c r="N272" s="16" t="n">
        <x:v>0.14394552972208974</x:v>
      </x:c>
      <x:c r="O272" s="16" t="n">
        <x:v>0.543046357615894</x:v>
      </x:c>
    </x:row>
    <x:row r="273">
      <x:c r="A273" s="16" t="str">
        <x:v>Europe</x:v>
      </x:c>
      <x:c r="B273" s="16" t="str">
        <x:v>Home Office</x:v>
      </x:c>
      <x:c r="C273" s="16" t="str">
        <x:v>2017-09</x:v>
      </x:c>
      <x:c r="D273" s="16" t="n">
        <x:v>981</x:v>
      </x:c>
      <x:c r="E273" s="16" t="n">
        <x:v>334</x:v>
      </x:c>
      <x:c r="F273" s="16" t="n">
        <x:v>1932</x:v>
      </x:c>
      <x:c r="G273" s="16" t="n">
        <x:v>214623.05</x:v>
      </x:c>
      <x:c r="H273" s="16" t="n">
        <x:v>192336.49</x:v>
      </x:c>
      <x:c r="I273" s="16" t="n">
        <x:v>22286.76</x:v>
      </x:c>
      <x:c r="J273" s="16" t="n">
        <x:v>23861.87</x:v>
      </x:c>
      <x:c r="K273" s="16" t="n">
        <x:v>542</x:v>
      </x:c>
      <x:c r="L273" s="16" t="n">
        <x:v>642.58</x:v>
      </x:c>
      <x:c r="M273" s="16" t="n">
        <x:v>575.86</x:v>
      </x:c>
      <x:c r="N273" s="16" t="n">
        <x:v>0.12406314579204393</x:v>
      </x:c>
      <x:c r="O273" s="16" t="n">
        <x:v>0.5524974515800204</x:v>
      </x:c>
    </x:row>
    <x:row r="274">
      <x:c r="A274" s="16" t="str">
        <x:v>Europe</x:v>
      </x:c>
      <x:c r="B274" s="16" t="str">
        <x:v>Home Office</x:v>
      </x:c>
      <x:c r="C274" s="16" t="str">
        <x:v>2017-10</x:v>
      </x:c>
      <x:c r="D274" s="16" t="n">
        <x:v>400</x:v>
      </x:c>
      <x:c r="E274" s="16" t="n">
        <x:v>376</x:v>
      </x:c>
      <x:c r="F274" s="16" t="n">
        <x:v>445</x:v>
      </x:c>
      <x:c r="G274" s="16" t="n">
        <x:v>189221.59</x:v>
      </x:c>
      <x:c r="H274" s="16" t="n">
        <x:v>170207.68</x:v>
      </x:c>
      <x:c r="I274" s="16" t="n">
        <x:v>19014.05</x:v>
      </x:c>
      <x:c r="J274" s="16" t="n">
        <x:v>10908.7</x:v>
      </x:c>
      <x:c r="K274" s="16" t="n">
        <x:v>216</x:v>
      </x:c>
      <x:c r="L274" s="16" t="n">
        <x:v>503.25</x:v>
      </x:c>
      <x:c r="M274" s="16" t="n">
        <x:v>452.68</x:v>
      </x:c>
      <x:c r="N274" s="16" t="n">
        <x:v>0.06409052752496246</x:v>
      </x:c>
      <x:c r="O274" s="16" t="n">
        <x:v>0.54</x:v>
      </x:c>
    </x:row>
    <x:row r="275">
      <x:c r="A275" s="16" t="str">
        <x:v>Europe</x:v>
      </x:c>
      <x:c r="B275" s="16" t="str">
        <x:v>Home Office</x:v>
      </x:c>
      <x:c r="C275" s="16" t="str">
        <x:v>2017-11</x:v>
      </x:c>
      <x:c r="D275" s="16" t="n">
        <x:v>103</x:v>
      </x:c>
      <x:c r="E275" s="16" t="n">
        <x:v>103</x:v>
      </x:c>
      <x:c r="F275" s="16" t="n">
        <x:v>103</x:v>
      </x:c>
      <x:c r="G275" s="16" t="n">
        <x:v>29801.34</x:v>
      </x:c>
      <x:c r="H275" s="16" t="n">
        <x:v>26631.45</x:v>
      </x:c>
      <x:c r="I275" s="16" t="n">
        <x:v>3169.92</x:v>
      </x:c>
      <x:c r="J275" s="16" t="n">
        <x:v>2938.99</x:v>
      </x:c>
      <x:c r="K275" s="16" t="n">
        <x:v>70</x:v>
      </x:c>
      <x:c r="L275" s="16" t="n">
        <x:v>289.33</x:v>
      </x:c>
      <x:c r="M275" s="16" t="n">
        <x:v>258.56</x:v>
      </x:c>
      <x:c r="N275" s="16" t="n">
        <x:v>0.11035786635725804</x:v>
      </x:c>
      <x:c r="O275" s="16" t="n">
        <x:v>0.6796116504854369</x:v>
      </x:c>
    </x:row>
    <x:row r="276">
      <x:c r="A276" s="16" t="str">
        <x:v>LATAM</x:v>
      </x:c>
      <x:c r="B276" s="16" t="str">
        <x:v>All</x:v>
      </x:c>
      <x:c r="C276" s="16" t="str">
        <x:v>2015-01</x:v>
      </x:c>
      <x:c r="D276" s="16" t="n">
        <x:v>5322</x:v>
      </x:c>
      <x:c r="E276" s="16" t="n">
        <x:v>1787</x:v>
      </x:c>
      <x:c r="F276" s="16" t="n">
        <x:v>11854</x:v>
      </x:c>
      <x:c r="G276" s="16" t="n">
        <x:v>1051590.06</x:v>
      </x:c>
      <x:c r="H276" s="16" t="n">
        <x:v>945382.15</x:v>
      </x:c>
      <x:c r="I276" s="16" t="n">
        <x:v>106209.28</x:v>
      </x:c>
      <x:c r="J276" s="16" t="n">
        <x:v>111660.74</x:v>
      </x:c>
      <x:c r="K276" s="16" t="n">
        <x:v>2880</x:v>
      </x:c>
      <x:c r="L276" s="16" t="n">
        <x:v>588.47</x:v>
      </x:c>
      <x:c r="M276" s="16" t="n">
        <x:v>529.03</x:v>
      </x:c>
      <x:c r="N276" s="16" t="n">
        <x:v>0.11811174983576747</x:v>
      </x:c>
      <x:c r="O276" s="16" t="n">
        <x:v>0.5411499436302142</x:v>
      </x:c>
    </x:row>
    <x:row r="277">
      <x:c r="A277" s="16" t="str">
        <x:v>LATAM</x:v>
      </x:c>
      <x:c r="B277" s="16" t="str">
        <x:v>All</x:v>
      </x:c>
      <x:c r="C277" s="16" t="str">
        <x:v>2015-02</x:v>
      </x:c>
      <x:c r="D277" s="16" t="n">
        <x:v>4729</x:v>
      </x:c>
      <x:c r="E277" s="16" t="n">
        <x:v>1585</x:v>
      </x:c>
      <x:c r="F277" s="16" t="n">
        <x:v>10438</x:v>
      </x:c>
      <x:c r="G277" s="16" t="n">
        <x:v>927009.88</x:v>
      </x:c>
      <x:c r="H277" s="16" t="n">
        <x:v>833012.42</x:v>
      </x:c>
      <x:c r="I277" s="16" t="n">
        <x:v>93998.57</x:v>
      </x:c>
      <x:c r="J277" s="16" t="n">
        <x:v>99140.66</x:v>
      </x:c>
      <x:c r="K277" s="16" t="n">
        <x:v>2594</x:v>
      </x:c>
      <x:c r="L277" s="16" t="n">
        <x:v>584.86</x:v>
      </x:c>
      <x:c r="M277" s="16" t="n">
        <x:v>525.56</x:v>
      </x:c>
      <x:c r="N277" s="16" t="n">
        <x:v>0.11901462405566533</x:v>
      </x:c>
      <x:c r="O277" s="16" t="n">
        <x:v>0.5485303446817509</x:v>
      </x:c>
    </x:row>
    <x:row r="278">
      <x:c r="A278" s="16" t="str">
        <x:v>LATAM</x:v>
      </x:c>
      <x:c r="B278" s="16" t="str">
        <x:v>All</x:v>
      </x:c>
      <x:c r="C278" s="16" t="str">
        <x:v>2015-03</x:v>
      </x:c>
      <x:c r="D278" s="16" t="n">
        <x:v>5362</x:v>
      </x:c>
      <x:c r="E278" s="16" t="n">
        <x:v>1781</x:v>
      </x:c>
      <x:c r="F278" s="16" t="n">
        <x:v>12062</x:v>
      </x:c>
      <x:c r="G278" s="16" t="n">
        <x:v>1051253.67</x:v>
      </x:c>
      <x:c r="H278" s="16" t="n">
        <x:v>944050.1</x:v>
      </x:c>
      <x:c r="I278" s="16" t="n">
        <x:v>107204.88</x:v>
      </x:c>
      <x:c r="J278" s="16" t="n">
        <x:v>113778.21</x:v>
      </x:c>
      <x:c r="K278" s="16" t="n">
        <x:v>2936</x:v>
      </x:c>
      <x:c r="L278" s="16" t="n">
        <x:v>590.26</x:v>
      </x:c>
      <x:c r="M278" s="16" t="n">
        <x:v>530.07</x:v>
      </x:c>
      <x:c r="N278" s="16" t="n">
        <x:v>0.1205213685163531</x:v>
      </x:c>
      <x:c r="O278" s="16" t="n">
        <x:v>0.5475568817605371</x:v>
      </x:c>
    </x:row>
    <x:row r="279">
      <x:c r="A279" s="16" t="str">
        <x:v>LATAM</x:v>
      </x:c>
      <x:c r="B279" s="16" t="str">
        <x:v>All</x:v>
      </x:c>
      <x:c r="C279" s="16" t="str">
        <x:v>2015-04</x:v>
      </x:c>
      <x:c r="D279" s="16" t="n">
        <x:v>5126</x:v>
      </x:c>
      <x:c r="E279" s="16" t="n">
        <x:v>1710</x:v>
      </x:c>
      <x:c r="F279" s="16" t="n">
        <x:v>11287</x:v>
      </x:c>
      <x:c r="G279" s="16" t="n">
        <x:v>1014463.26</x:v>
      </x:c>
      <x:c r="H279" s="16" t="n">
        <x:v>912004.39</x:v>
      </x:c>
      <x:c r="I279" s="16" t="n">
        <x:v>102460.16</x:v>
      </x:c>
      <x:c r="J279" s="16" t="n">
        <x:v>108083.68</x:v>
      </x:c>
      <x:c r="K279" s="16" t="n">
        <x:v>2760</x:v>
      </x:c>
      <x:c r="L279" s="16" t="n">
        <x:v>593.25</x:v>
      </x:c>
      <x:c r="M279" s="16" t="n">
        <x:v>533.34</x:v>
      </x:c>
      <x:c r="N279" s="16" t="n">
        <x:v>0.11851223654745784</x:v>
      </x:c>
      <x:c r="O279" s="16" t="n">
        <x:v>0.538431525555989</x:v>
      </x:c>
    </x:row>
    <x:row r="280">
      <x:c r="A280" s="16" t="str">
        <x:v>LATAM</x:v>
      </x:c>
      <x:c r="B280" s="16" t="str">
        <x:v>All</x:v>
      </x:c>
      <x:c r="C280" s="16" t="str">
        <x:v>2015-05</x:v>
      </x:c>
      <x:c r="D280" s="16" t="n">
        <x:v>5236</x:v>
      </x:c>
      <x:c r="E280" s="16" t="n">
        <x:v>1735</x:v>
      </x:c>
      <x:c r="F280" s="16" t="n">
        <x:v>11647</x:v>
      </x:c>
      <x:c r="G280" s="16" t="n">
        <x:v>1027871.5</x:v>
      </x:c>
      <x:c r="H280" s="16" t="n">
        <x:v>923708.48</x:v>
      </x:c>
      <x:c r="I280" s="16" t="n">
        <x:v>104164.25</x:v>
      </x:c>
      <x:c r="J280" s="16" t="n">
        <x:v>109190.45</x:v>
      </x:c>
      <x:c r="K280" s="16" t="n">
        <x:v>2877</x:v>
      </x:c>
      <x:c r="L280" s="16" t="n">
        <x:v>592.43</x:v>
      </x:c>
      <x:c r="M280" s="16" t="n">
        <x:v>532.4</x:v>
      </x:c>
      <x:c r="N280" s="16" t="n">
        <x:v>0.11820877729735685</x:v>
      </x:c>
      <x:c r="O280" s="16" t="n">
        <x:v>0.5494652406417112</x:v>
      </x:c>
    </x:row>
    <x:row r="281">
      <x:c r="A281" s="16" t="str">
        <x:v>LATAM</x:v>
      </x:c>
      <x:c r="B281" s="16" t="str">
        <x:v>All</x:v>
      </x:c>
      <x:c r="C281" s="16" t="str">
        <x:v>2017-01</x:v>
      </x:c>
      <x:c r="D281" s="16" t="n">
        <x:v>2240</x:v>
      </x:c>
      <x:c r="E281" s="16" t="n">
        <x:v>743</x:v>
      </x:c>
      <x:c r="F281" s="16" t="n">
        <x:v>4967</x:v>
      </x:c>
      <x:c r="G281" s="16" t="n">
        <x:v>439543.32</x:v>
      </x:c>
      <x:c r="H281" s="16" t="n">
        <x:v>395037.67</x:v>
      </x:c>
      <x:c r="I281" s="16" t="n">
        <x:v>44506.17</x:v>
      </x:c>
      <x:c r="J281" s="16" t="n">
        <x:v>49674.9</x:v>
      </x:c>
      <x:c r="K281" s="16" t="n">
        <x:v>1216</x:v>
      </x:c>
      <x:c r="L281" s="16" t="n">
        <x:v>591.58</x:v>
      </x:c>
      <x:c r="M281" s="16" t="n">
        <x:v>531.68</x:v>
      </x:c>
      <x:c r="N281" s="16" t="n">
        <x:v>0.12574724835735288</x:v>
      </x:c>
      <x:c r="O281" s="16" t="n">
        <x:v>0.5428571428571428</x:v>
      </x:c>
    </x:row>
    <x:row r="282">
      <x:c r="A282" s="16" t="str">
        <x:v>LATAM</x:v>
      </x:c>
      <x:c r="B282" s="16" t="str">
        <x:v>All</x:v>
      </x:c>
      <x:c r="C282" s="16" t="str">
        <x:v>2017-02</x:v>
      </x:c>
      <x:c r="D282" s="16" t="n">
        <x:v>4906</x:v>
      </x:c>
      <x:c r="E282" s="16" t="n">
        <x:v>1614</x:v>
      </x:c>
      <x:c r="F282" s="16" t="n">
        <x:v>11070</x:v>
      </x:c>
      <x:c r="G282" s="16" t="n">
        <x:v>992534.88</x:v>
      </x:c>
      <x:c r="H282" s="16" t="n">
        <x:v>891924.28</x:v>
      </x:c>
      <x:c r="I282" s="16" t="n">
        <x:v>100611.81</x:v>
      </x:c>
      <x:c r="J282" s="16" t="n">
        <x:v>115111.07</x:v>
      </x:c>
      <x:c r="K282" s="16" t="n">
        <x:v>2682</x:v>
      </x:c>
      <x:c r="L282" s="16" t="n">
        <x:v>614.95</x:v>
      </x:c>
      <x:c r="M282" s="16" t="n">
        <x:v>552.62</x:v>
      </x:c>
      <x:c r="N282" s="16" t="n">
        <x:v>0.12905924032026575</x:v>
      </x:c>
      <x:c r="O282" s="16" t="n">
        <x:v>0.5466775377089278</x:v>
      </x:c>
    </x:row>
    <x:row r="283">
      <x:c r="A283" s="16" t="str">
        <x:v>LATAM</x:v>
      </x:c>
      <x:c r="B283" s="16" t="str">
        <x:v>All</x:v>
      </x:c>
      <x:c r="C283" s="16" t="str">
        <x:v>2017-03</x:v>
      </x:c>
      <x:c r="D283" s="16" t="n">
        <x:v>5347</x:v>
      </x:c>
      <x:c r="E283" s="16" t="n">
        <x:v>1782</x:v>
      </x:c>
      <x:c r="F283" s="16" t="n">
        <x:v>11676</x:v>
      </x:c>
      <x:c r="G283" s="16" t="n">
        <x:v>1048004.76</x:v>
      </x:c>
      <x:c r="H283" s="16" t="n">
        <x:v>942290.42</x:v>
      </x:c>
      <x:c r="I283" s="16" t="n">
        <x:v>105715.63</x:v>
      </x:c>
      <x:c r="J283" s="16" t="n">
        <x:v>118688.9</x:v>
      </x:c>
      <x:c r="K283" s="16" t="n">
        <x:v>2955</x:v>
      </x:c>
      <x:c r="L283" s="16" t="n">
        <x:v>588.11</x:v>
      </x:c>
      <x:c r="M283" s="16" t="n">
        <x:v>528.78</x:v>
      </x:c>
      <x:c r="N283" s="16" t="n">
        <x:v>0.12595787612910253</x:v>
      </x:c>
      <x:c r="O283" s="16" t="n">
        <x:v>0.5526463437441556</x:v>
      </x:c>
    </x:row>
    <x:row r="284">
      <x:c r="A284" s="16" t="str">
        <x:v>LATAM</x:v>
      </x:c>
      <x:c r="B284" s="16" t="str">
        <x:v>All</x:v>
      </x:c>
      <x:c r="C284" s="16" t="str">
        <x:v>2017-04</x:v>
      </x:c>
      <x:c r="D284" s="16" t="n">
        <x:v>5212</x:v>
      </x:c>
      <x:c r="E284" s="16" t="n">
        <x:v>1739</x:v>
      </x:c>
      <x:c r="F284" s="16" t="n">
        <x:v>11189</x:v>
      </x:c>
      <x:c r="G284" s="16" t="n">
        <x:v>1038321.6</x:v>
      </x:c>
      <x:c r="H284" s="16" t="n">
        <x:v>932318.19</x:v>
      </x:c>
      <x:c r="I284" s="16" t="n">
        <x:v>106004.69</x:v>
      </x:c>
      <x:c r="J284" s="16" t="n">
        <x:v>115961.06</x:v>
      </x:c>
      <x:c r="K284" s="16" t="n">
        <x:v>2803</x:v>
      </x:c>
      <x:c r="L284" s="16" t="n">
        <x:v>597.08</x:v>
      </x:c>
      <x:c r="M284" s="16" t="n">
        <x:v>536.12</x:v>
      </x:c>
      <x:c r="N284" s="16" t="n">
        <x:v>0.12437927441917655</x:v>
      </x:c>
      <x:c r="O284" s="16" t="n">
        <x:v>0.5377973906369916</x:v>
      </x:c>
    </x:row>
    <x:row r="285">
      <x:c r="A285" s="16" t="str">
        <x:v>LATAM</x:v>
      </x:c>
      <x:c r="B285" s="16" t="str">
        <x:v>All</x:v>
      </x:c>
      <x:c r="C285" s="16" t="str">
        <x:v>2017-05</x:v>
      </x:c>
      <x:c r="D285" s="16" t="n">
        <x:v>5317</x:v>
      </x:c>
      <x:c r="E285" s="16" t="n">
        <x:v>1763</x:v>
      </x:c>
      <x:c r="F285" s="16" t="n">
        <x:v>11033</x:v>
      </x:c>
      <x:c r="G285" s="16" t="n">
        <x:v>1105485.3</x:v>
      </x:c>
      <x:c r="H285" s="16" t="n">
        <x:v>993199.04</x:v>
      </x:c>
      <x:c r="I285" s="16" t="n">
        <x:v>112287.53</x:v>
      </x:c>
      <x:c r="J285" s="16" t="n">
        <x:v>115014.64</x:v>
      </x:c>
      <x:c r="K285" s="16" t="n">
        <x:v>2843</x:v>
      </x:c>
      <x:c r="L285" s="16" t="n">
        <x:v>627.05</x:v>
      </x:c>
      <x:c r="M285" s="16" t="n">
        <x:v>563.36</x:v>
      </x:c>
      <x:c r="N285" s="16" t="n">
        <x:v>0.11580220617208813</x:v>
      </x:c>
      <x:c r="O285" s="16" t="n">
        <x:v>0.5347000188075983</x:v>
      </x:c>
    </x:row>
    <x:row r="286">
      <x:c r="A286" s="16" t="str">
        <x:v>LATAM</x:v>
      </x:c>
      <x:c r="B286" s="16" t="str">
        <x:v>All</x:v>
      </x:c>
      <x:c r="C286" s="16" t="str">
        <x:v>2017-06</x:v>
      </x:c>
      <x:c r="D286" s="16" t="n">
        <x:v>2797</x:v>
      </x:c>
      <x:c r="E286" s="16" t="n">
        <x:v>942</x:v>
      </x:c>
      <x:c r="F286" s="16" t="n">
        <x:v>5719</x:v>
      </x:c>
      <x:c r="G286" s="16" t="n">
        <x:v>581534.41</x:v>
      </x:c>
      <x:c r="H286" s="16" t="n">
        <x:v>522834.85</x:v>
      </x:c>
      <x:c r="I286" s="16" t="n">
        <x:v>58700.18</x:v>
      </x:c>
      <x:c r="J286" s="16" t="n">
        <x:v>67017.3</x:v>
      </x:c>
      <x:c r="K286" s="16" t="n">
        <x:v>1498</x:v>
      </x:c>
      <x:c r="L286" s="16" t="n">
        <x:v>617.34</x:v>
      </x:c>
      <x:c r="M286" s="16" t="n">
        <x:v>555.03</x:v>
      </x:c>
      <x:c r="N286" s="16" t="n">
        <x:v>0.1281806291221788</x:v>
      </x:c>
      <x:c r="O286" s="16" t="n">
        <x:v>0.53557382910261</x:v>
      </x:c>
    </x:row>
    <x:row r="287">
      <x:c r="A287" s="16" t="str">
        <x:v>LATAM</x:v>
      </x:c>
      <x:c r="B287" s="16" t="str">
        <x:v>Consumer</x:v>
      </x:c>
      <x:c r="C287" s="16" t="str">
        <x:v>2015-01</x:v>
      </x:c>
      <x:c r="D287" s="16" t="n">
        <x:v>2763</x:v>
      </x:c>
      <x:c r="E287" s="16" t="n">
        <x:v>928</x:v>
      </x:c>
      <x:c r="F287" s="16" t="n">
        <x:v>6082</x:v>
      </x:c>
      <x:c r="G287" s="16" t="n">
        <x:v>547482.5</x:v>
      </x:c>
      <x:c r="H287" s="16" t="n">
        <x:v>491967.89</x:v>
      </x:c>
      <x:c r="I287" s="16" t="n">
        <x:v>55515.41</x:v>
      </x:c>
      <x:c r="J287" s="16" t="n">
        <x:v>62962.4</x:v>
      </x:c>
      <x:c r="K287" s="16" t="n">
        <x:v>1545</x:v>
      </x:c>
      <x:c r="L287" s="16" t="n">
        <x:v>589.96</x:v>
      </x:c>
      <x:c r="M287" s="16" t="n">
        <x:v>530.14</x:v>
      </x:c>
      <x:c r="N287" s="16" t="n">
        <x:v>0.12798071028578714</x:v>
      </x:c>
      <x:c r="O287" s="16" t="n">
        <x:v>0.5591748099891423</x:v>
      </x:c>
    </x:row>
    <x:row r="288">
      <x:c r="A288" s="16" t="str">
        <x:v>LATAM</x:v>
      </x:c>
      <x:c r="B288" s="16" t="str">
        <x:v>Consumer</x:v>
      </x:c>
      <x:c r="C288" s="16" t="str">
        <x:v>2015-02</x:v>
      </x:c>
      <x:c r="D288" s="16" t="n">
        <x:v>2418</x:v>
      </x:c>
      <x:c r="E288" s="16" t="n">
        <x:v>815</x:v>
      </x:c>
      <x:c r="F288" s="16" t="n">
        <x:v>5309</x:v>
      </x:c>
      <x:c r="G288" s="16" t="n">
        <x:v>476562.84</x:v>
      </x:c>
      <x:c r="H288" s="16" t="n">
        <x:v>428519.87</x:v>
      </x:c>
      <x:c r="I288" s="16" t="n">
        <x:v>48043.58</x:v>
      </x:c>
      <x:c r="J288" s="16" t="n">
        <x:v>50244.79</x:v>
      </x:c>
      <x:c r="K288" s="16" t="n">
        <x:v>1341</x:v>
      </x:c>
      <x:c r="L288" s="16" t="n">
        <x:v>584.74</x:v>
      </x:c>
      <x:c r="M288" s="16" t="n">
        <x:v>525.79</x:v>
      </x:c>
      <x:c r="N288" s="16" t="n">
        <x:v>0.11725194913365394</x:v>
      </x:c>
      <x:c r="O288" s="16" t="n">
        <x:v>0.5545905707196029</x:v>
      </x:c>
    </x:row>
    <x:row r="289">
      <x:c r="A289" s="16" t="str">
        <x:v>LATAM</x:v>
      </x:c>
      <x:c r="B289" s="16" t="str">
        <x:v>Consumer</x:v>
      </x:c>
      <x:c r="C289" s="16" t="str">
        <x:v>2015-03</x:v>
      </x:c>
      <x:c r="D289" s="16" t="n">
        <x:v>2795</x:v>
      </x:c>
      <x:c r="E289" s="16" t="n">
        <x:v>946</x:v>
      </x:c>
      <x:c r="F289" s="16" t="n">
        <x:v>6465</x:v>
      </x:c>
      <x:c r="G289" s="16" t="n">
        <x:v>548665.65</x:v>
      </x:c>
      <x:c r="H289" s="16" t="n">
        <x:v>492583.95</x:v>
      </x:c>
      <x:c r="I289" s="16" t="n">
        <x:v>56082.42</x:v>
      </x:c>
      <x:c r="J289" s="16" t="n">
        <x:v>54391.32</x:v>
      </x:c>
      <x:c r="K289" s="16" t="n">
        <x:v>1550</x:v>
      </x:c>
      <x:c r="L289" s="16" t="n">
        <x:v>579.98</x:v>
      </x:c>
      <x:c r="M289" s="16" t="n">
        <x:v>520.7</x:v>
      </x:c>
      <x:c r="N289" s="16" t="n">
        <x:v>0.110420406511418</x:v>
      </x:c>
      <x:c r="O289" s="16" t="n">
        <x:v>0.554561717352415</x:v>
      </x:c>
    </x:row>
    <x:row r="290">
      <x:c r="A290" s="16" t="str">
        <x:v>LATAM</x:v>
      </x:c>
      <x:c r="B290" s="16" t="str">
        <x:v>Consumer</x:v>
      </x:c>
      <x:c r="C290" s="16" t="str">
        <x:v>2015-04</x:v>
      </x:c>
      <x:c r="D290" s="16" t="n">
        <x:v>2728</x:v>
      </x:c>
      <x:c r="E290" s="16" t="n">
        <x:v>907</x:v>
      </x:c>
      <x:c r="F290" s="16" t="n">
        <x:v>6023</x:v>
      </x:c>
      <x:c r="G290" s="16" t="n">
        <x:v>546105.86</x:v>
      </x:c>
      <x:c r="H290" s="16" t="n">
        <x:v>491956.84</x:v>
      </x:c>
      <x:c r="I290" s="16" t="n">
        <x:v>54149.76</x:v>
      </x:c>
      <x:c r="J290" s="16" t="n">
        <x:v>60452.13</x:v>
      </x:c>
      <x:c r="K290" s="16" t="n">
        <x:v>1484</x:v>
      </x:c>
      <x:c r="L290" s="16" t="n">
        <x:v>602.1</x:v>
      </x:c>
      <x:c r="M290" s="16" t="n">
        <x:v>542.4</x:v>
      </x:c>
      <x:c r="N290" s="16" t="n">
        <x:v>0.12288096248443256</x:v>
      </x:c>
      <x:c r="O290" s="16" t="n">
        <x:v>0.5439882697947214</x:v>
      </x:c>
    </x:row>
    <x:row r="291">
      <x:c r="A291" s="16" t="str">
        <x:v>LATAM</x:v>
      </x:c>
      <x:c r="B291" s="16" t="str">
        <x:v>Consumer</x:v>
      </x:c>
      <x:c r="C291" s="16" t="str">
        <x:v>2015-05</x:v>
      </x:c>
      <x:c r="D291" s="16" t="n">
        <x:v>2663</x:v>
      </x:c>
      <x:c r="E291" s="16" t="n">
        <x:v>884</x:v>
      </x:c>
      <x:c r="F291" s="16" t="n">
        <x:v>5988</x:v>
      </x:c>
      <x:c r="G291" s="16" t="n">
        <x:v>518669.8</x:v>
      </x:c>
      <x:c r="H291" s="16" t="n">
        <x:v>466933.23</x:v>
      </x:c>
      <x:c r="I291" s="16" t="n">
        <x:v>51737.12</x:v>
      </x:c>
      <x:c r="J291" s="16" t="n">
        <x:v>53852.56</x:v>
      </x:c>
      <x:c r="K291" s="16" t="n">
        <x:v>1455</x:v>
      </x:c>
      <x:c r="L291" s="16" t="n">
        <x:v>586.73</x:v>
      </x:c>
      <x:c r="M291" s="16" t="n">
        <x:v>528.21</x:v>
      </x:c>
      <x:c r="N291" s="16" t="n">
        <x:v>0.11533246412982859</x:v>
      </x:c>
      <x:c r="O291" s="16" t="n">
        <x:v>0.5463762673676305</x:v>
      </x:c>
    </x:row>
    <x:row r="292">
      <x:c r="A292" s="16" t="str">
        <x:v>LATAM</x:v>
      </x:c>
      <x:c r="B292" s="16" t="str">
        <x:v>Consumer</x:v>
      </x:c>
      <x:c r="C292" s="16" t="str">
        <x:v>2017-01</x:v>
      </x:c>
      <x:c r="D292" s="16" t="n">
        <x:v>1278</x:v>
      </x:c>
      <x:c r="E292" s="16" t="n">
        <x:v>417</x:v>
      </x:c>
      <x:c r="F292" s="16" t="n">
        <x:v>2847</x:v>
      </x:c>
      <x:c r="G292" s="16" t="n">
        <x:v>253668.72</x:v>
      </x:c>
      <x:c r="H292" s="16" t="n">
        <x:v>228256.73</x:v>
      </x:c>
      <x:c r="I292" s="16" t="n">
        <x:v>25412.25</x:v>
      </x:c>
      <x:c r="J292" s="16" t="n">
        <x:v>25912.72</x:v>
      </x:c>
      <x:c r="K292" s="16" t="n">
        <x:v>675</x:v>
      </x:c>
      <x:c r="L292" s="16" t="n">
        <x:v>608.32</x:v>
      </x:c>
      <x:c r="M292" s="16" t="n">
        <x:v>547.38</x:v>
      </x:c>
      <x:c r="N292" s="16" t="n">
        <x:v>0.11352445117390406</x:v>
      </x:c>
      <x:c r="O292" s="16" t="n">
        <x:v>0.528169014084507</x:v>
      </x:c>
    </x:row>
    <x:row r="293">
      <x:c r="A293" s="16" t="str">
        <x:v>LATAM</x:v>
      </x:c>
      <x:c r="B293" s="16" t="str">
        <x:v>Consumer</x:v>
      </x:c>
      <x:c r="C293" s="16" t="str">
        <x:v>2017-02</x:v>
      </x:c>
      <x:c r="D293" s="16" t="n">
        <x:v>2455</x:v>
      </x:c>
      <x:c r="E293" s="16" t="n">
        <x:v>825</x:v>
      </x:c>
      <x:c r="F293" s="16" t="n">
        <x:v>5522</x:v>
      </x:c>
      <x:c r="G293" s="16" t="n">
        <x:v>491386.43</x:v>
      </x:c>
      <x:c r="H293" s="16" t="n">
        <x:v>442311.89</x:v>
      </x:c>
      <x:c r="I293" s="16" t="n">
        <x:v>49075.18</x:v>
      </x:c>
      <x:c r="J293" s="16" t="n">
        <x:v>55119.85</x:v>
      </x:c>
      <x:c r="K293" s="16" t="n">
        <x:v>1311</x:v>
      </x:c>
      <x:c r="L293" s="16" t="n">
        <x:v>595.62</x:v>
      </x:c>
      <x:c r="M293" s="16" t="n">
        <x:v>536.14</x:v>
      </x:c>
      <x:c r="N293" s="16" t="n">
        <x:v>0.12461760862906036</x:v>
      </x:c>
      <x:c r="O293" s="16" t="n">
        <x:v>0.5340122199592668</x:v>
      </x:c>
    </x:row>
    <x:row r="294">
      <x:c r="A294" s="16" t="str">
        <x:v>LATAM</x:v>
      </x:c>
      <x:c r="B294" s="16" t="str">
        <x:v>Consumer</x:v>
      </x:c>
      <x:c r="C294" s="16" t="str">
        <x:v>2017-03</x:v>
      </x:c>
      <x:c r="D294" s="16" t="n">
        <x:v>2604</x:v>
      </x:c>
      <x:c r="E294" s="16" t="n">
        <x:v>871</x:v>
      </x:c>
      <x:c r="F294" s="16" t="n">
        <x:v>5678</x:v>
      </x:c>
      <x:c r="G294" s="16" t="n">
        <x:v>508047.42</x:v>
      </x:c>
      <x:c r="H294" s="16" t="n">
        <x:v>455757.88</x:v>
      </x:c>
      <x:c r="I294" s="16" t="n">
        <x:v>52290.25</x:v>
      </x:c>
      <x:c r="J294" s="16" t="n">
        <x:v>54047.58</x:v>
      </x:c>
      <x:c r="K294" s="16" t="n">
        <x:v>1475</x:v>
      </x:c>
      <x:c r="L294" s="16" t="n">
        <x:v>583.29</x:v>
      </x:c>
      <x:c r="M294" s="16" t="n">
        <x:v>523.26</x:v>
      </x:c>
      <x:c r="N294" s="16" t="n">
        <x:v>0.11858836099553562</x:v>
      </x:c>
      <x:c r="O294" s="16" t="n">
        <x:v>0.5664362519201229</x:v>
      </x:c>
    </x:row>
    <x:row r="295">
      <x:c r="A295" s="16" t="str">
        <x:v>LATAM</x:v>
      </x:c>
      <x:c r="B295" s="16" t="str">
        <x:v>Consumer</x:v>
      </x:c>
      <x:c r="C295" s="16" t="str">
        <x:v>2017-04</x:v>
      </x:c>
      <x:c r="D295" s="16" t="n">
        <x:v>2795</x:v>
      </x:c>
      <x:c r="E295" s="16" t="n">
        <x:v>923</x:v>
      </x:c>
      <x:c r="F295" s="16" t="n">
        <x:v>5979</x:v>
      </x:c>
      <x:c r="G295" s="16" t="n">
        <x:v>553031.44</x:v>
      </x:c>
      <x:c r="H295" s="16" t="n">
        <x:v>496275.86</x:v>
      </x:c>
      <x:c r="I295" s="16" t="n">
        <x:v>56756.3</x:v>
      </x:c>
      <x:c r="J295" s="16" t="n">
        <x:v>64501.54</x:v>
      </x:c>
      <x:c r="K295" s="16" t="n">
        <x:v>1470</x:v>
      </x:c>
      <x:c r="L295" s="16" t="n">
        <x:v>599.17</x:v>
      </x:c>
      <x:c r="M295" s="16" t="n">
        <x:v>537.68</x:v>
      </x:c>
      <x:c r="N295" s="16" t="n">
        <x:v>0.12997114145346503</x:v>
      </x:c>
      <x:c r="O295" s="16" t="n">
        <x:v>0.5259391771019678</x:v>
      </x:c>
    </x:row>
    <x:row r="296">
      <x:c r="A296" s="16" t="str">
        <x:v>LATAM</x:v>
      </x:c>
      <x:c r="B296" s="16" t="str">
        <x:v>Consumer</x:v>
      </x:c>
      <x:c r="C296" s="16" t="str">
        <x:v>2017-05</x:v>
      </x:c>
      <x:c r="D296" s="16" t="n">
        <x:v>2687</x:v>
      </x:c>
      <x:c r="E296" s="16" t="n">
        <x:v>895</x:v>
      </x:c>
      <x:c r="F296" s="16" t="n">
        <x:v>5635</x:v>
      </x:c>
      <x:c r="G296" s="16" t="n">
        <x:v>555613.62</x:v>
      </x:c>
      <x:c r="H296" s="16" t="n">
        <x:v>498873.03</x:v>
      </x:c>
      <x:c r="I296" s="16" t="n">
        <x:v>56741.21</x:v>
      </x:c>
      <x:c r="J296" s="16" t="n">
        <x:v>54896.79</x:v>
      </x:c>
      <x:c r="K296" s="16" t="n">
        <x:v>1459</x:v>
      </x:c>
      <x:c r="L296" s="16" t="n">
        <x:v>620.8</x:v>
      </x:c>
      <x:c r="M296" s="16" t="n">
        <x:v>557.4</x:v>
      </x:c>
      <x:c r="N296" s="16" t="n">
        <x:v>0.11004160718008749</x:v>
      </x:c>
      <x:c r="O296" s="16" t="n">
        <x:v>0.5429847413472274</x:v>
      </x:c>
    </x:row>
    <x:row r="297">
      <x:c r="A297" s="16" t="str">
        <x:v>LATAM</x:v>
      </x:c>
      <x:c r="B297" s="16" t="str">
        <x:v>Consumer</x:v>
      </x:c>
      <x:c r="C297" s="16" t="str">
        <x:v>2017-06</x:v>
      </x:c>
      <x:c r="D297" s="16" t="n">
        <x:v>1412</x:v>
      </x:c>
      <x:c r="E297" s="16" t="n">
        <x:v>473</x:v>
      </x:c>
      <x:c r="F297" s="16" t="n">
        <x:v>2817</x:v>
      </x:c>
      <x:c r="G297" s="16" t="n">
        <x:v>290404.4</x:v>
      </x:c>
      <x:c r="H297" s="16" t="n">
        <x:v>261291.18</x:v>
      </x:c>
      <x:c r="I297" s="16" t="n">
        <x:v>29113.49</x:v>
      </x:c>
      <x:c r="J297" s="16" t="n">
        <x:v>31864.53</x:v>
      </x:c>
      <x:c r="K297" s="16" t="n">
        <x:v>760</x:v>
      </x:c>
      <x:c r="L297" s="16" t="n">
        <x:v>613.96</x:v>
      </x:c>
      <x:c r="M297" s="16" t="n">
        <x:v>552.41</x:v>
      </x:c>
      <x:c r="N297" s="16" t="n">
        <x:v>0.12195027019281707</x:v>
      </x:c>
      <x:c r="O297" s="16" t="n">
        <x:v>0.5382436260623229</x:v>
      </x:c>
    </x:row>
    <x:row r="298">
      <x:c r="A298" s="16" t="str">
        <x:v>LATAM</x:v>
      </x:c>
      <x:c r="B298" s="16" t="str">
        <x:v>Corporate</x:v>
      </x:c>
      <x:c r="C298" s="16" t="str">
        <x:v>2015-01</x:v>
      </x:c>
      <x:c r="D298" s="16" t="n">
        <x:v>1613</x:v>
      </x:c>
      <x:c r="E298" s="16" t="n">
        <x:v>528</x:v>
      </x:c>
      <x:c r="F298" s="16" t="n">
        <x:v>3673</x:v>
      </x:c>
      <x:c r="G298" s="16" t="n">
        <x:v>317973.66</x:v>
      </x:c>
      <x:c r="H298" s="16" t="n">
        <x:v>286082.85</x:v>
      </x:c>
      <x:c r="I298" s="16" t="n">
        <x:v>31891.23</x:v>
      </x:c>
      <x:c r="J298" s="16" t="n">
        <x:v>28959.29</x:v>
      </x:c>
      <x:c r="K298" s="16" t="n">
        <x:v>830</x:v>
      </x:c>
      <x:c r="L298" s="16" t="n">
        <x:v>602.22</x:v>
      </x:c>
      <x:c r="M298" s="16" t="n">
        <x:v>541.82</x:v>
      </x:c>
      <x:c r="N298" s="16" t="n">
        <x:v>0.10122693478480099</x:v>
      </x:c>
      <x:c r="O298" s="16" t="n">
        <x:v>0.5145691258524488</x:v>
      </x:c>
    </x:row>
    <x:row r="299">
      <x:c r="A299" s="16" t="str">
        <x:v>LATAM</x:v>
      </x:c>
      <x:c r="B299" s="16" t="str">
        <x:v>Corporate</x:v>
      </x:c>
      <x:c r="C299" s="16" t="str">
        <x:v>2015-02</x:v>
      </x:c>
      <x:c r="D299" s="16" t="n">
        <x:v>1403</x:v>
      </x:c>
      <x:c r="E299" s="16" t="n">
        <x:v>475</x:v>
      </x:c>
      <x:c r="F299" s="16" t="n">
        <x:v>3165</x:v>
      </x:c>
      <x:c r="G299" s="16" t="n">
        <x:v>274771.08</x:v>
      </x:c>
      <x:c r="H299" s="16" t="n">
        <x:v>246212.44</x:v>
      </x:c>
      <x:c r="I299" s="16" t="n">
        <x:v>28559.01</x:v>
      </x:c>
      <x:c r="J299" s="16" t="n">
        <x:v>32128.64</x:v>
      </x:c>
      <x:c r="K299" s="16" t="n">
        <x:v>766</x:v>
      </x:c>
      <x:c r="L299" s="16" t="n">
        <x:v>578.47</x:v>
      </x:c>
      <x:c r="M299" s="16" t="n">
        <x:v>518.34</x:v>
      </x:c>
      <x:c r="N299" s="16" t="n">
        <x:v>0.13049153812049463</x:v>
      </x:c>
      <x:c r="O299" s="16" t="n">
        <x:v>0.5459729151817534</x:v>
      </x:c>
    </x:row>
    <x:row r="300">
      <x:c r="A300" s="16" t="str">
        <x:v>LATAM</x:v>
      </x:c>
      <x:c r="B300" s="16" t="str">
        <x:v>Corporate</x:v>
      </x:c>
      <x:c r="C300" s="16" t="str">
        <x:v>2015-03</x:v>
      </x:c>
      <x:c r="D300" s="16" t="n">
        <x:v>1628</x:v>
      </x:c>
      <x:c r="E300" s="16" t="n">
        <x:v>524</x:v>
      </x:c>
      <x:c r="F300" s="16" t="n">
        <x:v>3598</x:v>
      </x:c>
      <x:c r="G300" s="16" t="n">
        <x:v>321220.89</x:v>
      </x:c>
      <x:c r="H300" s="16" t="n">
        <x:v>287395.76</x:v>
      </x:c>
      <x:c r="I300" s="16" t="n">
        <x:v>33825.52</x:v>
      </x:c>
      <x:c r="J300" s="16" t="n">
        <x:v>39504.57</x:v>
      </x:c>
      <x:c r="K300" s="16" t="n">
        <x:v>884</x:v>
      </x:c>
      <x:c r="L300" s="16" t="n">
        <x:v>613.02</x:v>
      </x:c>
      <x:c r="M300" s="16" t="n">
        <x:v>548.47</x:v>
      </x:c>
      <x:c r="N300" s="16" t="n">
        <x:v>0.13745703833626494</x:v>
      </x:c>
      <x:c r="O300" s="16" t="n">
        <x:v>0.542997542997543</x:v>
      </x:c>
    </x:row>
    <x:row r="301">
      <x:c r="A301" s="16" t="str">
        <x:v>LATAM</x:v>
      </x:c>
      <x:c r="B301" s="16" t="str">
        <x:v>Corporate</x:v>
      </x:c>
      <x:c r="C301" s="16" t="str">
        <x:v>2015-04</x:v>
      </x:c>
      <x:c r="D301" s="16" t="n">
        <x:v>1487</x:v>
      </x:c>
      <x:c r="E301" s="16" t="n">
        <x:v>500</x:v>
      </x:c>
      <x:c r="F301" s="16" t="n">
        <x:v>3289</x:v>
      </x:c>
      <x:c r="G301" s="16" t="n">
        <x:v>292889.83</x:v>
      </x:c>
      <x:c r="H301" s="16" t="n">
        <x:v>262923.83</x:v>
      </x:c>
      <x:c r="I301" s="16" t="n">
        <x:v>29966.34</x:v>
      </x:c>
      <x:c r="J301" s="16" t="n">
        <x:v>29448.55</x:v>
      </x:c>
      <x:c r="K301" s="16" t="n">
        <x:v>816</x:v>
      </x:c>
      <x:c r="L301" s="16" t="n">
        <x:v>585.78</x:v>
      </x:c>
      <x:c r="M301" s="16" t="n">
        <x:v>525.85</x:v>
      </x:c>
      <x:c r="N301" s="16" t="n">
        <x:v>0.11200411160905421</x:v>
      </x:c>
      <x:c r="O301" s="16" t="n">
        <x:v>0.5487558843308675</x:v>
      </x:c>
    </x:row>
    <x:row r="302">
      <x:c r="A302" s="16" t="str">
        <x:v>LATAM</x:v>
      </x:c>
      <x:c r="B302" s="16" t="str">
        <x:v>Corporate</x:v>
      </x:c>
      <x:c r="C302" s="16" t="str">
        <x:v>2015-05</x:v>
      </x:c>
      <x:c r="D302" s="16" t="n">
        <x:v>1636</x:v>
      </x:c>
      <x:c r="E302" s="16" t="n">
        <x:v>537</x:v>
      </x:c>
      <x:c r="F302" s="16" t="n">
        <x:v>3583</x:v>
      </x:c>
      <x:c r="G302" s="16" t="n">
        <x:v>324420.26</x:v>
      </x:c>
      <x:c r="H302" s="16" t="n">
        <x:v>290940.16</x:v>
      </x:c>
      <x:c r="I302" s="16" t="n">
        <x:v>33480.54</x:v>
      </x:c>
      <x:c r="J302" s="16" t="n">
        <x:v>33116.71</x:v>
      </x:c>
      <x:c r="K302" s="16" t="n">
        <x:v>948</x:v>
      </x:c>
      <x:c r="L302" s="16" t="n">
        <x:v>604.13</x:v>
      </x:c>
      <x:c r="M302" s="16" t="n">
        <x:v>541.79</x:v>
      </x:c>
      <x:c r="N302" s="16" t="n">
        <x:v>0.113826533951174</x:v>
      </x:c>
      <x:c r="O302" s="16" t="n">
        <x:v>0.5794621026894865</x:v>
      </x:c>
    </x:row>
    <x:row r="303">
      <x:c r="A303" s="16" t="str">
        <x:v>LATAM</x:v>
      </x:c>
      <x:c r="B303" s="16" t="str">
        <x:v>Corporate</x:v>
      </x:c>
      <x:c r="C303" s="16" t="str">
        <x:v>2017-01</x:v>
      </x:c>
      <x:c r="D303" s="16" t="n">
        <x:v>610</x:v>
      </x:c>
      <x:c r="E303" s="16" t="n">
        <x:v>207</x:v>
      </x:c>
      <x:c r="F303" s="16" t="n">
        <x:v>1340</x:v>
      </x:c>
      <x:c r="G303" s="16" t="n">
        <x:v>120794.89</x:v>
      </x:c>
      <x:c r="H303" s="16" t="n">
        <x:v>108629.75</x:v>
      </x:c>
      <x:c r="I303" s="16" t="n">
        <x:v>12165.3</x:v>
      </x:c>
      <x:c r="J303" s="16" t="n">
        <x:v>14241.07</x:v>
      </x:c>
      <x:c r="K303" s="16" t="n">
        <x:v>340</x:v>
      </x:c>
      <x:c r="L303" s="16" t="n">
        <x:v>583.55</x:v>
      </x:c>
      <x:c r="M303" s="16" t="n">
        <x:v>524.78</x:v>
      </x:c>
      <x:c r="N303" s="16" t="n">
        <x:v>0.13109732831015444</x:v>
      </x:c>
      <x:c r="O303" s="16" t="n">
        <x:v>0.5573770491803278</x:v>
      </x:c>
    </x:row>
    <x:row r="304">
      <x:c r="A304" s="16" t="str">
        <x:v>LATAM</x:v>
      </x:c>
      <x:c r="B304" s="16" t="str">
        <x:v>Corporate</x:v>
      </x:c>
      <x:c r="C304" s="16" t="str">
        <x:v>2017-02</x:v>
      </x:c>
      <x:c r="D304" s="16" t="n">
        <x:v>1601</x:v>
      </x:c>
      <x:c r="E304" s="16" t="n">
        <x:v>501</x:v>
      </x:c>
      <x:c r="F304" s="16" t="n">
        <x:v>3618</x:v>
      </x:c>
      <x:c r="G304" s="16" t="n">
        <x:v>325899.2</x:v>
      </x:c>
      <x:c r="H304" s="16" t="n">
        <x:v>292328.89</x:v>
      </x:c>
      <x:c r="I304" s="16" t="n">
        <x:v>33570.7</x:v>
      </x:c>
      <x:c r="J304" s="16" t="n">
        <x:v>39792.71</x:v>
      </x:c>
      <x:c r="K304" s="16" t="n">
        <x:v>881</x:v>
      </x:c>
      <x:c r="L304" s="16" t="n">
        <x:v>650.5</x:v>
      </x:c>
      <x:c r="M304" s="16" t="n">
        <x:v>583.49</x:v>
      </x:c>
      <x:c r="N304" s="16" t="n">
        <x:v>0.13612308383204957</x:v>
      </x:c>
      <x:c r="O304" s="16" t="n">
        <x:v>0.5502810743285447</x:v>
      </x:c>
    </x:row>
    <x:row r="305">
      <x:c r="A305" s="16" t="str">
        <x:v>LATAM</x:v>
      </x:c>
      <x:c r="B305" s="16" t="str">
        <x:v>Corporate</x:v>
      </x:c>
      <x:c r="C305" s="16" t="str">
        <x:v>2017-03</x:v>
      </x:c>
      <x:c r="D305" s="16" t="n">
        <x:v>1714</x:v>
      </x:c>
      <x:c r="E305" s="16" t="n">
        <x:v>573</x:v>
      </x:c>
      <x:c r="F305" s="16" t="n">
        <x:v>3769</x:v>
      </x:c>
      <x:c r="G305" s="16" t="n">
        <x:v>335368.65</x:v>
      </x:c>
      <x:c r="H305" s="16" t="n">
        <x:v>302171.23</x:v>
      </x:c>
      <x:c r="I305" s="16" t="n">
        <x:v>33197.79</x:v>
      </x:c>
      <x:c r="J305" s="16" t="n">
        <x:v>39134.97</x:v>
      </x:c>
      <x:c r="K305" s="16" t="n">
        <x:v>881</x:v>
      </x:c>
      <x:c r="L305" s="16" t="n">
        <x:v>585.29</x:v>
      </x:c>
      <x:c r="M305" s="16" t="n">
        <x:v>527.35</x:v>
      </x:c>
      <x:c r="N305" s="16" t="n">
        <x:v>0.12951256147052784</x:v>
      </x:c>
      <x:c r="O305" s="16" t="n">
        <x:v>0.5140023337222871</x:v>
      </x:c>
    </x:row>
    <x:row r="306">
      <x:c r="A306" s="16" t="str">
        <x:v>LATAM</x:v>
      </x:c>
      <x:c r="B306" s="16" t="str">
        <x:v>Corporate</x:v>
      </x:c>
      <x:c r="C306" s="16" t="str">
        <x:v>2017-04</x:v>
      </x:c>
      <x:c r="D306" s="16" t="n">
        <x:v>1475</x:v>
      </x:c>
      <x:c r="E306" s="16" t="n">
        <x:v>493</x:v>
      </x:c>
      <x:c r="F306" s="16" t="n">
        <x:v>3177</x:v>
      </x:c>
      <x:c r="G306" s="16" t="n">
        <x:v>295931.4</x:v>
      </x:c>
      <x:c r="H306" s="16" t="n">
        <x:v>265532.86</x:v>
      </x:c>
      <x:c r="I306" s="16" t="n">
        <x:v>30398.93</x:v>
      </x:c>
      <x:c r="J306" s="16" t="n">
        <x:v>31574.6</x:v>
      </x:c>
      <x:c r="K306" s="16" t="n">
        <x:v>810</x:v>
      </x:c>
      <x:c r="L306" s="16" t="n">
        <x:v>600.27</x:v>
      </x:c>
      <x:c r="M306" s="16" t="n">
        <x:v>538.61</x:v>
      </x:c>
      <x:c r="N306" s="16" t="n">
        <x:v>0.11891032996820054</x:v>
      </x:c>
      <x:c r="O306" s="16" t="n">
        <x:v>0.5491525423728814</x:v>
      </x:c>
    </x:row>
    <x:row r="307">
      <x:c r="A307" s="16" t="str">
        <x:v>LATAM</x:v>
      </x:c>
      <x:c r="B307" s="16" t="str">
        <x:v>Corporate</x:v>
      </x:c>
      <x:c r="C307" s="16" t="str">
        <x:v>2017-05</x:v>
      </x:c>
      <x:c r="D307" s="16" t="n">
        <x:v>1692</x:v>
      </x:c>
      <x:c r="E307" s="16" t="n">
        <x:v>561</x:v>
      </x:c>
      <x:c r="F307" s="16" t="n">
        <x:v>3454</x:v>
      </x:c>
      <x:c r="G307" s="16" t="n">
        <x:v>355405.75</x:v>
      </x:c>
      <x:c r="H307" s="16" t="n">
        <x:v>319789.13</x:v>
      </x:c>
      <x:c r="I307" s="16" t="n">
        <x:v>35617.03</x:v>
      </x:c>
      <x:c r="J307" s="16" t="n">
        <x:v>41593.1</x:v>
      </x:c>
      <x:c r="K307" s="16" t="n">
        <x:v>870</x:v>
      </x:c>
      <x:c r="L307" s="16" t="n">
        <x:v>633.52</x:v>
      </x:c>
      <x:c r="M307" s="16" t="n">
        <x:v>570.03</x:v>
      </x:c>
      <x:c r="N307" s="16" t="n">
        <x:v>0.1300641457075167</x:v>
      </x:c>
      <x:c r="O307" s="16" t="n">
        <x:v>0.5141843971631206</x:v>
      </x:c>
    </x:row>
    <x:row r="308">
      <x:c r="A308" s="16" t="str">
        <x:v>LATAM</x:v>
      </x:c>
      <x:c r="B308" s="16" t="str">
        <x:v>Corporate</x:v>
      </x:c>
      <x:c r="C308" s="16" t="str">
        <x:v>2017-06</x:v>
      </x:c>
      <x:c r="D308" s="16" t="n">
        <x:v>840</x:v>
      </x:c>
      <x:c r="E308" s="16" t="n">
        <x:v>285</x:v>
      </x:c>
      <x:c r="F308" s="16" t="n">
        <x:v>1791</x:v>
      </x:c>
      <x:c r="G308" s="16" t="n">
        <x:v>174439.17</x:v>
      </x:c>
      <x:c r="H308" s="16" t="n">
        <x:v>156489.83</x:v>
      </x:c>
      <x:c r="I308" s="16" t="n">
        <x:v>17949.55</x:v>
      </x:c>
      <x:c r="J308" s="16" t="n">
        <x:v>21079.61</x:v>
      </x:c>
      <x:c r="K308" s="16" t="n">
        <x:v>427</x:v>
      </x:c>
      <x:c r="L308" s="16" t="n">
        <x:v>612.07</x:v>
      </x:c>
      <x:c r="M308" s="16" t="n">
        <x:v>549.09</x:v>
      </x:c>
      <x:c r="N308" s="16" t="n">
        <x:v>0.13470274713698646</x:v>
      </x:c>
      <x:c r="O308" s="16" t="n">
        <x:v>0.5083333333333333</x:v>
      </x:c>
    </x:row>
    <x:row r="309">
      <x:c r="A309" s="16" t="str">
        <x:v>LATAM</x:v>
      </x:c>
      <x:c r="B309" s="16" t="str">
        <x:v>Home Office</x:v>
      </x:c>
      <x:c r="C309" s="16" t="str">
        <x:v>2015-01</x:v>
      </x:c>
      <x:c r="D309" s="16" t="n">
        <x:v>946</x:v>
      </x:c>
      <x:c r="E309" s="16" t="n">
        <x:v>331</x:v>
      </x:c>
      <x:c r="F309" s="16" t="n">
        <x:v>2099</x:v>
      </x:c>
      <x:c r="G309" s="16" t="n">
        <x:v>186133.9</x:v>
      </x:c>
      <x:c r="H309" s="16" t="n">
        <x:v>167331.41</x:v>
      </x:c>
      <x:c r="I309" s="16" t="n">
        <x:v>18802.64</x:v>
      </x:c>
      <x:c r="J309" s="16" t="n">
        <x:v>19739.05</x:v>
      </x:c>
      <x:c r="K309" s="16" t="n">
        <x:v>505</x:v>
      </x:c>
      <x:c r="L309" s="16" t="n">
        <x:v>562.34</x:v>
      </x:c>
      <x:c r="M309" s="16" t="n">
        <x:v>505.53</x:v>
      </x:c>
      <x:c r="N309" s="16" t="n">
        <x:v>0.11796380607801009</x:v>
      </x:c>
      <x:c r="O309" s="16" t="n">
        <x:v>0.5338266384778013</x:v>
      </x:c>
    </x:row>
    <x:row r="310">
      <x:c r="A310" s="16" t="str">
        <x:v>LATAM</x:v>
      </x:c>
      <x:c r="B310" s="16" t="str">
        <x:v>Home Office</x:v>
      </x:c>
      <x:c r="C310" s="16" t="str">
        <x:v>2015-02</x:v>
      </x:c>
      <x:c r="D310" s="16" t="n">
        <x:v>908</x:v>
      </x:c>
      <x:c r="E310" s="16" t="n">
        <x:v>295</x:v>
      </x:c>
      <x:c r="F310" s="16" t="n">
        <x:v>1964</x:v>
      </x:c>
      <x:c r="G310" s="16" t="n">
        <x:v>175675.96</x:v>
      </x:c>
      <x:c r="H310" s="16" t="n">
        <x:v>158280.11</x:v>
      </x:c>
      <x:c r="I310" s="16" t="n">
        <x:v>17395.98</x:v>
      </x:c>
      <x:c r="J310" s="16" t="n">
        <x:v>16767.23</x:v>
      </x:c>
      <x:c r="K310" s="16" t="n">
        <x:v>487</x:v>
      </x:c>
      <x:c r="L310" s="16" t="n">
        <x:v>595.51</x:v>
      </x:c>
      <x:c r="M310" s="16" t="n">
        <x:v>536.54</x:v>
      </x:c>
      <x:c r="N310" s="16" t="n">
        <x:v>0.1059339041399453</x:v>
      </x:c>
      <x:c r="O310" s="16" t="n">
        <x:v>0.5363436123348018</x:v>
      </x:c>
    </x:row>
    <x:row r="311">
      <x:c r="A311" s="16" t="str">
        <x:v>LATAM</x:v>
      </x:c>
      <x:c r="B311" s="16" t="str">
        <x:v>Home Office</x:v>
      </x:c>
      <x:c r="C311" s="16" t="str">
        <x:v>2015-03</x:v>
      </x:c>
      <x:c r="D311" s="16" t="n">
        <x:v>939</x:v>
      </x:c>
      <x:c r="E311" s="16" t="n">
        <x:v>311</x:v>
      </x:c>
      <x:c r="F311" s="16" t="n">
        <x:v>1999</x:v>
      </x:c>
      <x:c r="G311" s="16" t="n">
        <x:v>181367.13</x:v>
      </x:c>
      <x:c r="H311" s="16" t="n">
        <x:v>164070.39</x:v>
      </x:c>
      <x:c r="I311" s="16" t="n">
        <x:v>17296.94</x:v>
      </x:c>
      <x:c r="J311" s="16" t="n">
        <x:v>19882.32</x:v>
      </x:c>
      <x:c r="K311" s="16" t="n">
        <x:v>502</x:v>
      </x:c>
      <x:c r="L311" s="16" t="n">
        <x:v>583.17</x:v>
      </x:c>
      <x:c r="M311" s="16" t="n">
        <x:v>527.56</x:v>
      </x:c>
      <x:c r="N311" s="16" t="n">
        <x:v>0.12118164648721806</x:v>
      </x:c>
      <x:c r="O311" s="16" t="n">
        <x:v>0.5346112886048988</x:v>
      </x:c>
    </x:row>
    <x:row r="312">
      <x:c r="A312" s="16" t="str">
        <x:v>LATAM</x:v>
      </x:c>
      <x:c r="B312" s="16" t="str">
        <x:v>Home Office</x:v>
      </x:c>
      <x:c r="C312" s="16" t="str">
        <x:v>2015-04</x:v>
      </x:c>
      <x:c r="D312" s="16" t="n">
        <x:v>911</x:v>
      </x:c>
      <x:c r="E312" s="16" t="n">
        <x:v>303</x:v>
      </x:c>
      <x:c r="F312" s="16" t="n">
        <x:v>1975</x:v>
      </x:c>
      <x:c r="G312" s="16" t="n">
        <x:v>175467.57</x:v>
      </x:c>
      <x:c r="H312" s="16" t="n">
        <x:v>157123.72</x:v>
      </x:c>
      <x:c r="I312" s="16" t="n">
        <x:v>18344.06</x:v>
      </x:c>
      <x:c r="J312" s="16" t="n">
        <x:v>18183</x:v>
      </x:c>
      <x:c r="K312" s="16" t="n">
        <x:v>460</x:v>
      </x:c>
      <x:c r="L312" s="16" t="n">
        <x:v>579.1</x:v>
      </x:c>
      <x:c r="M312" s="16" t="n">
        <x:v>518.56</x:v>
      </x:c>
      <x:c r="N312" s="16" t="n">
        <x:v>0.115724093090464</x:v>
      </x:c>
      <x:c r="O312" s="16" t="n">
        <x:v>0.5049396267837541</x:v>
      </x:c>
    </x:row>
    <x:row r="313">
      <x:c r="A313" s="16" t="str">
        <x:v>LATAM</x:v>
      </x:c>
      <x:c r="B313" s="16" t="str">
        <x:v>Home Office</x:v>
      </x:c>
      <x:c r="C313" s="16" t="str">
        <x:v>2015-05</x:v>
      </x:c>
      <x:c r="D313" s="16" t="n">
        <x:v>937</x:v>
      </x:c>
      <x:c r="E313" s="16" t="n">
        <x:v>314</x:v>
      </x:c>
      <x:c r="F313" s="16" t="n">
        <x:v>2076</x:v>
      </x:c>
      <x:c r="G313" s="16" t="n">
        <x:v>184781.44</x:v>
      </x:c>
      <x:c r="H313" s="16" t="n">
        <x:v>165835.09</x:v>
      </x:c>
      <x:c r="I313" s="16" t="n">
        <x:v>18946.59</x:v>
      </x:c>
      <x:c r="J313" s="16" t="n">
        <x:v>22221.18</x:v>
      </x:c>
      <x:c r="K313" s="16" t="n">
        <x:v>474</x:v>
      </x:c>
      <x:c r="L313" s="16" t="n">
        <x:v>588.48</x:v>
      </x:c>
      <x:c r="M313" s="16" t="n">
        <x:v>528.14</x:v>
      </x:c>
      <x:c r="N313" s="16" t="n">
        <x:v>0.1339956459154694</x:v>
      </x:c>
      <x:c r="O313" s="16" t="n">
        <x:v>0.5058697972251868</x:v>
      </x:c>
    </x:row>
    <x:row r="314">
      <x:c r="A314" s="16" t="str">
        <x:v>LATAM</x:v>
      </x:c>
      <x:c r="B314" s="16" t="str">
        <x:v>Home Office</x:v>
      </x:c>
      <x:c r="C314" s="16" t="str">
        <x:v>2017-01</x:v>
      </x:c>
      <x:c r="D314" s="16" t="n">
        <x:v>352</x:v>
      </x:c>
      <x:c r="E314" s="16" t="n">
        <x:v>119</x:v>
      </x:c>
      <x:c r="F314" s="16" t="n">
        <x:v>780</x:v>
      </x:c>
      <x:c r="G314" s="16" t="n">
        <x:v>65079.71</x:v>
      </x:c>
      <x:c r="H314" s="16" t="n">
        <x:v>58151.19</x:v>
      </x:c>
      <x:c r="I314" s="16" t="n">
        <x:v>6928.62</x:v>
      </x:c>
      <x:c r="J314" s="16" t="n">
        <x:v>9521.11</x:v>
      </x:c>
      <x:c r="K314" s="16" t="n">
        <x:v>201</x:v>
      </x:c>
      <x:c r="L314" s="16" t="n">
        <x:v>546.89</x:v>
      </x:c>
      <x:c r="M314" s="16" t="n">
        <x:v>488.67</x:v>
      </x:c>
      <x:c r="N314" s="16" t="n">
        <x:v>0.16373026932036988</x:v>
      </x:c>
      <x:c r="O314" s="16" t="n">
        <x:v>0.5710227272727273</x:v>
      </x:c>
    </x:row>
    <x:row r="315">
      <x:c r="A315" s="16" t="str">
        <x:v>LATAM</x:v>
      </x:c>
      <x:c r="B315" s="16" t="str">
        <x:v>Home Office</x:v>
      </x:c>
      <x:c r="C315" s="16" t="str">
        <x:v>2017-02</x:v>
      </x:c>
      <x:c r="D315" s="16" t="n">
        <x:v>850</x:v>
      </x:c>
      <x:c r="E315" s="16" t="n">
        <x:v>288</x:v>
      </x:c>
      <x:c r="F315" s="16" t="n">
        <x:v>1930</x:v>
      </x:c>
      <x:c r="G315" s="16" t="n">
        <x:v>175249.25</x:v>
      </x:c>
      <x:c r="H315" s="16" t="n">
        <x:v>157283.5</x:v>
      </x:c>
      <x:c r="I315" s="16" t="n">
        <x:v>17965.93</x:v>
      </x:c>
      <x:c r="J315" s="16" t="n">
        <x:v>20198.51</x:v>
      </x:c>
      <x:c r="K315" s="16" t="n">
        <x:v>490</x:v>
      </x:c>
      <x:c r="L315" s="16" t="n">
        <x:v>608.5</x:v>
      </x:c>
      <x:c r="M315" s="16" t="n">
        <x:v>546.12</x:v>
      </x:c>
      <x:c r="N315" s="16" t="n">
        <x:v>0.1284210359001421</x:v>
      </x:c>
      <x:c r="O315" s="16" t="n">
        <x:v>0.5764705882352941</x:v>
      </x:c>
    </x:row>
    <x:row r="316">
      <x:c r="A316" s="16" t="str">
        <x:v>LATAM</x:v>
      </x:c>
      <x:c r="B316" s="16" t="str">
        <x:v>Home Office</x:v>
      </x:c>
      <x:c r="C316" s="16" t="str">
        <x:v>2017-03</x:v>
      </x:c>
      <x:c r="D316" s="16" t="n">
        <x:v>1029</x:v>
      </x:c>
      <x:c r="E316" s="16" t="n">
        <x:v>338</x:v>
      </x:c>
      <x:c r="F316" s="16" t="n">
        <x:v>2229</x:v>
      </x:c>
      <x:c r="G316" s="16" t="n">
        <x:v>204588.69</x:v>
      </x:c>
      <x:c r="H316" s="16" t="n">
        <x:v>184361.31</x:v>
      </x:c>
      <x:c r="I316" s="16" t="n">
        <x:v>20227.59</x:v>
      </x:c>
      <x:c r="J316" s="16" t="n">
        <x:v>25506.35</x:v>
      </x:c>
      <x:c r="K316" s="16" t="n">
        <x:v>599</x:v>
      </x:c>
      <x:c r="L316" s="16" t="n">
        <x:v>605.29</x:v>
      </x:c>
      <x:c r="M316" s="16" t="n">
        <x:v>545.45</x:v>
      </x:c>
      <x:c r="N316" s="16" t="n">
        <x:v>0.1383497980134769</x:v>
      </x:c>
      <x:c r="O316" s="16" t="n">
        <x:v>0.5821185617103984</x:v>
      </x:c>
    </x:row>
    <x:row r="317">
      <x:c r="A317" s="16" t="str">
        <x:v>LATAM</x:v>
      </x:c>
      <x:c r="B317" s="16" t="str">
        <x:v>Home Office</x:v>
      </x:c>
      <x:c r="C317" s="16" t="str">
        <x:v>2017-04</x:v>
      </x:c>
      <x:c r="D317" s="16" t="n">
        <x:v>942</x:v>
      </x:c>
      <x:c r="E317" s="16" t="n">
        <x:v>323</x:v>
      </x:c>
      <x:c r="F317" s="16" t="n">
        <x:v>2033</x:v>
      </x:c>
      <x:c r="G317" s="16" t="n">
        <x:v>189358.76</x:v>
      </x:c>
      <x:c r="H317" s="16" t="n">
        <x:v>170509.47</x:v>
      </x:c>
      <x:c r="I317" s="16" t="n">
        <x:v>18849.46</x:v>
      </x:c>
      <x:c r="J317" s="16" t="n">
        <x:v>19884.92</x:v>
      </x:c>
      <x:c r="K317" s="16" t="n">
        <x:v>523</x:v>
      </x:c>
      <x:c r="L317" s="16" t="n">
        <x:v>586.25</x:v>
      </x:c>
      <x:c r="M317" s="16" t="n">
        <x:v>527.89</x:v>
      </x:c>
      <x:c r="N317" s="16" t="n">
        <x:v>0.11662061937087718</x:v>
      </x:c>
      <x:c r="O317" s="16" t="n">
        <x:v>0.5552016985138004</x:v>
      </x:c>
    </x:row>
    <x:row r="318">
      <x:c r="A318" s="16" t="str">
        <x:v>LATAM</x:v>
      </x:c>
      <x:c r="B318" s="16" t="str">
        <x:v>Home Office</x:v>
      </x:c>
      <x:c r="C318" s="16" t="str">
        <x:v>2017-05</x:v>
      </x:c>
      <x:c r="D318" s="16" t="n">
        <x:v>938</x:v>
      </x:c>
      <x:c r="E318" s="16" t="n">
        <x:v>307</x:v>
      </x:c>
      <x:c r="F318" s="16" t="n">
        <x:v>1944</x:v>
      </x:c>
      <x:c r="G318" s="16" t="n">
        <x:v>194465.93</x:v>
      </x:c>
      <x:c r="H318" s="16" t="n">
        <x:v>174536.88</x:v>
      </x:c>
      <x:c r="I318" s="16" t="n">
        <x:v>19929.29</x:v>
      </x:c>
      <x:c r="J318" s="16" t="n">
        <x:v>18524.75</x:v>
      </x:c>
      <x:c r="K318" s="16" t="n">
        <x:v>514</x:v>
      </x:c>
      <x:c r="L318" s="16" t="n">
        <x:v>633.44</x:v>
      </x:c>
      <x:c r="M318" s="16" t="n">
        <x:v>568.52</x:v>
      </x:c>
      <x:c r="N318" s="16" t="n">
        <x:v>0.10613659416852186</x:v>
      </x:c>
      <x:c r="O318" s="16" t="n">
        <x:v>0.5479744136460555</x:v>
      </x:c>
    </x:row>
    <x:row r="319">
      <x:c r="A319" s="16" t="str">
        <x:v>LATAM</x:v>
      </x:c>
      <x:c r="B319" s="16" t="str">
        <x:v>Home Office</x:v>
      </x:c>
      <x:c r="C319" s="16" t="str">
        <x:v>2017-06</x:v>
      </x:c>
      <x:c r="D319" s="16" t="n">
        <x:v>545</x:v>
      </x:c>
      <x:c r="E319" s="16" t="n">
        <x:v>184</x:v>
      </x:c>
      <x:c r="F319" s="16" t="n">
        <x:v>1111</x:v>
      </x:c>
      <x:c r="G319" s="16" t="n">
        <x:v>116690.84</x:v>
      </x:c>
      <x:c r="H319" s="16" t="n">
        <x:v>105053.84</x:v>
      </x:c>
      <x:c r="I319" s="16" t="n">
        <x:v>11637.14</x:v>
      </x:c>
      <x:c r="J319" s="16" t="n">
        <x:v>14073.16</x:v>
      </x:c>
      <x:c r="K319" s="16" t="n">
        <x:v>311</x:v>
      </x:c>
      <x:c r="L319" s="16" t="n">
        <x:v>634.19</x:v>
      </x:c>
      <x:c r="M319" s="16" t="n">
        <x:v>570.94</x:v>
      </x:c>
      <x:c r="N319" s="16" t="n">
        <x:v>0.13396140493293723</x:v>
      </x:c>
      <x:c r="O319" s="16" t="n">
        <x:v>0.5706422018348624</x:v>
      </x:c>
    </x:row>
    <x:row r="320">
      <x:c r="A320" s="16" t="str">
        <x:v>Pacific Asia</x:v>
      </x:c>
      <x:c r="B320" s="16" t="str">
        <x:v>All</x:v>
      </x:c>
      <x:c r="C320" s="16" t="str">
        <x:v>2015-10</x:v>
      </x:c>
      <x:c r="D320" s="16" t="n">
        <x:v>1355</x:v>
      </x:c>
      <x:c r="E320" s="16" t="n">
        <x:v>457</x:v>
      </x:c>
      <x:c r="F320" s="16" t="n">
        <x:v>2938</x:v>
      </x:c>
      <x:c r="G320" s="16" t="n">
        <x:v>268276.4</x:v>
      </x:c>
      <x:c r="H320" s="16" t="n">
        <x:v>241594.32</x:v>
      </x:c>
      <x:c r="I320" s="16" t="n">
        <x:v>26682.43</x:v>
      </x:c>
      <x:c r="J320" s="16" t="n">
        <x:v>27507</x:v>
      </x:c>
      <x:c r="K320" s="16" t="n">
        <x:v>741</x:v>
      </x:c>
      <x:c r="L320" s="16" t="n">
        <x:v>587.04</x:v>
      </x:c>
      <x:c r="M320" s="16" t="n">
        <x:v>528.65</x:v>
      </x:c>
      <x:c r="N320" s="16" t="n">
        <x:v>0.11385615357182238</x:v>
      </x:c>
      <x:c r="O320" s="16" t="n">
        <x:v>0.5468634686346864</x:v>
      </x:c>
    </x:row>
    <x:row r="321">
      <x:c r="A321" s="16" t="str">
        <x:v>Pacific Asia</x:v>
      </x:c>
      <x:c r="B321" s="16" t="str">
        <x:v>All</x:v>
      </x:c>
      <x:c r="C321" s="16" t="str">
        <x:v>2015-11</x:v>
      </x:c>
      <x:c r="D321" s="16" t="n">
        <x:v>5235</x:v>
      </x:c>
      <x:c r="E321" s="16" t="n">
        <x:v>1729</x:v>
      </x:c>
      <x:c r="F321" s="16" t="n">
        <x:v>11463</x:v>
      </x:c>
      <x:c r="G321" s="16" t="n">
        <x:v>1029120.22</x:v>
      </x:c>
      <x:c r="H321" s="16" t="n">
        <x:v>924602.56</x:v>
      </x:c>
      <x:c r="I321" s="16" t="n">
        <x:v>104518.97</x:v>
      </x:c>
      <x:c r="J321" s="16" t="n">
        <x:v>104427.36</x:v>
      </x:c>
      <x:c r="K321" s="16" t="n">
        <x:v>2841</x:v>
      </x:c>
      <x:c r="L321" s="16" t="n">
        <x:v>595.21</x:v>
      </x:c>
      <x:c r="M321" s="16" t="n">
        <x:v>534.76</x:v>
      </x:c>
      <x:c r="N321" s="16" t="n">
        <x:v>0.11294297086955934</x:v>
      </x:c>
      <x:c r="O321" s="16" t="n">
        <x:v>0.5426934097421203</x:v>
      </x:c>
    </x:row>
    <x:row r="322">
      <x:c r="A322" s="16" t="str">
        <x:v>Pacific Asia</x:v>
      </x:c>
      <x:c r="B322" s="16" t="str">
        <x:v>All</x:v>
      </x:c>
      <x:c r="C322" s="16" t="str">
        <x:v>2015-12</x:v>
      </x:c>
      <x:c r="D322" s="16" t="n">
        <x:v>5371</x:v>
      </x:c>
      <x:c r="E322" s="16" t="n">
        <x:v>1805</x:v>
      </x:c>
      <x:c r="F322" s="16" t="n">
        <x:v>11790</x:v>
      </x:c>
      <x:c r="G322" s="16" t="n">
        <x:v>1057840.86</x:v>
      </x:c>
      <x:c r="H322" s="16" t="n">
        <x:v>950526.91</x:v>
      </x:c>
      <x:c r="I322" s="16" t="n">
        <x:v>107315.25</x:v>
      </x:c>
      <x:c r="J322" s="16" t="n">
        <x:v>110641.55</x:v>
      </x:c>
      <x:c r="K322" s="16" t="n">
        <x:v>2937</x:v>
      </x:c>
      <x:c r="L322" s="16" t="n">
        <x:v>586.06</x:v>
      </x:c>
      <x:c r="M322" s="16" t="n">
        <x:v>526.61</x:v>
      </x:c>
      <x:c r="N322" s="16" t="n">
        <x:v>0.11640022900561542</x:v>
      </x:c>
      <x:c r="O322" s="16" t="n">
        <x:v>0.5468255445913238</x:v>
      </x:c>
    </x:row>
    <x:row r="323">
      <x:c r="A323" s="16" t="str">
        <x:v>Pacific Asia</x:v>
      </x:c>
      <x:c r="B323" s="16" t="str">
        <x:v>All</x:v>
      </x:c>
      <x:c r="C323" s="16" t="str">
        <x:v>2016-01</x:v>
      </x:c>
      <x:c r="D323" s="16" t="n">
        <x:v>5317</x:v>
      </x:c>
      <x:c r="E323" s="16" t="n">
        <x:v>1772</x:v>
      </x:c>
      <x:c r="F323" s="16" t="n">
        <x:v>11597</x:v>
      </x:c>
      <x:c r="G323" s="16" t="n">
        <x:v>1046308.23</x:v>
      </x:c>
      <x:c r="H323" s="16" t="n">
        <x:v>940283.62</x:v>
      </x:c>
      <x:c r="I323" s="16" t="n">
        <x:v>106025.88</x:v>
      </x:c>
      <x:c r="J323" s="16" t="n">
        <x:v>106780.95</x:v>
      </x:c>
      <x:c r="K323" s="16" t="n">
        <x:v>2955</x:v>
      </x:c>
      <x:c r="L323" s="16" t="n">
        <x:v>590.47</x:v>
      </x:c>
      <x:c r="M323" s="16" t="n">
        <x:v>530.63</x:v>
      </x:c>
      <x:c r="N323" s="16" t="n">
        <x:v>0.1135624908578116</x:v>
      </x:c>
      <x:c r="O323" s="16" t="n">
        <x:v>0.5557645288696633</x:v>
      </x:c>
    </x:row>
    <x:row r="324">
      <x:c r="A324" s="16" t="str">
        <x:v>Pacific Asia</x:v>
      </x:c>
      <x:c r="B324" s="16" t="str">
        <x:v>All</x:v>
      </x:c>
      <x:c r="C324" s="16" t="str">
        <x:v>2016-02</x:v>
      </x:c>
      <x:c r="D324" s="16" t="n">
        <x:v>4894</x:v>
      </x:c>
      <x:c r="E324" s="16" t="n">
        <x:v>1650</x:v>
      </x:c>
      <x:c r="F324" s="16" t="n">
        <x:v>10765</x:v>
      </x:c>
      <x:c r="G324" s="16" t="n">
        <x:v>968542.83</x:v>
      </x:c>
      <x:c r="H324" s="16" t="n">
        <x:v>870116.74</x:v>
      </x:c>
      <x:c r="I324" s="16" t="n">
        <x:v>98427.3</x:v>
      </x:c>
      <x:c r="J324" s="16" t="n">
        <x:v>86809.49</x:v>
      </x:c>
      <x:c r="K324" s="16" t="n">
        <x:v>2650</x:v>
      </x:c>
      <x:c r="L324" s="16" t="n">
        <x:v>587</x:v>
      </x:c>
      <x:c r="M324" s="16" t="n">
        <x:v>527.34</x:v>
      </x:c>
      <x:c r="N324" s="16" t="n">
        <x:v>0.09976763577724065</x:v>
      </x:c>
      <x:c r="O324" s="16" t="n">
        <x:v>0.5414793624846751</x:v>
      </x:c>
    </x:row>
    <x:row r="325">
      <x:c r="A325" s="16" t="str">
        <x:v>Pacific Asia</x:v>
      </x:c>
      <x:c r="B325" s="16" t="str">
        <x:v>All</x:v>
      </x:c>
      <x:c r="C325" s="16" t="str">
        <x:v>2016-03</x:v>
      </x:c>
      <x:c r="D325" s="16" t="n">
        <x:v>5210</x:v>
      </x:c>
      <x:c r="E325" s="16" t="n">
        <x:v>1764</x:v>
      </x:c>
      <x:c r="F325" s="16" t="n">
        <x:v>11349</x:v>
      </x:c>
      <x:c r="G325" s="16" t="n">
        <x:v>1025853.1</x:v>
      </x:c>
      <x:c r="H325" s="16" t="n">
        <x:v>921487.72</x:v>
      </x:c>
      <x:c r="I325" s="16" t="n">
        <x:v>104366.66</x:v>
      </x:c>
      <x:c r="J325" s="16" t="n">
        <x:v>101259.99</x:v>
      </x:c>
      <x:c r="K325" s="16" t="n">
        <x:v>2905</x:v>
      </x:c>
      <x:c r="L325" s="16" t="n">
        <x:v>581.55</x:v>
      </x:c>
      <x:c r="M325" s="16" t="n">
        <x:v>522.39</x:v>
      </x:c>
      <x:c r="N325" s="16" t="n">
        <x:v>0.10988750886446974</x:v>
      </x:c>
      <x:c r="O325" s="16" t="n">
        <x:v>0.5575815738963532</x:v>
      </x:c>
    </x:row>
    <x:row r="326">
      <x:c r="A326" s="16" t="str">
        <x:v>Pacific Asia</x:v>
      </x:c>
      <x:c r="B326" s="16" t="str">
        <x:v>All</x:v>
      </x:c>
      <x:c r="C326" s="16" t="str">
        <x:v>2016-04</x:v>
      </x:c>
      <x:c r="D326" s="16" t="n">
        <x:v>159</x:v>
      </x:c>
      <x:c r="E326" s="16" t="n">
        <x:v>50</x:v>
      </x:c>
      <x:c r="F326" s="16" t="n">
        <x:v>388</x:v>
      </x:c>
      <x:c r="G326" s="16" t="n">
        <x:v>31615.07</x:v>
      </x:c>
      <x:c r="H326" s="16" t="n">
        <x:v>28736.63</x:v>
      </x:c>
      <x:c r="I326" s="16" t="n">
        <x:v>2878.5</x:v>
      </x:c>
      <x:c r="J326" s="16" t="n">
        <x:v>5964.79</x:v>
      </x:c>
      <x:c r="K326" s="16" t="n">
        <x:v>89</x:v>
      </x:c>
      <x:c r="L326" s="16" t="n">
        <x:v>632.3</x:v>
      </x:c>
      <x:c r="M326" s="16" t="n">
        <x:v>574.73</x:v>
      </x:c>
      <x:c r="N326" s="16" t="n">
        <x:v>0.20756748442667075</x:v>
      </x:c>
      <x:c r="O326" s="16" t="n">
        <x:v>0.559748427672956</x:v>
      </x:c>
    </x:row>
    <x:row r="327">
      <x:c r="A327" s="16" t="str">
        <x:v>Pacific Asia</x:v>
      </x:c>
      <x:c r="B327" s="16" t="str">
        <x:v>All</x:v>
      </x:c>
      <x:c r="C327" s="16" t="str">
        <x:v>2016-08</x:v>
      </x:c>
      <x:c r="D327" s="16" t="n">
        <x:v>429</x:v>
      </x:c>
      <x:c r="E327" s="16" t="n">
        <x:v>144</x:v>
      </x:c>
      <x:c r="F327" s="16" t="n">
        <x:v>885</x:v>
      </x:c>
      <x:c r="G327" s="16" t="n">
        <x:v>82106.42</x:v>
      </x:c>
      <x:c r="H327" s="16" t="n">
        <x:v>73766.4</x:v>
      </x:c>
      <x:c r="I327" s="16" t="n">
        <x:v>8340.11</x:v>
      </x:c>
      <x:c r="J327" s="16" t="n">
        <x:v>2269.79</x:v>
      </x:c>
      <x:c r="K327" s="16" t="n">
        <x:v>254</x:v>
      </x:c>
      <x:c r="L327" s="16" t="n">
        <x:v>570.18</x:v>
      </x:c>
      <x:c r="M327" s="16" t="n">
        <x:v>512.27</x:v>
      </x:c>
      <x:c r="N327" s="16" t="n">
        <x:v>0.030769971152177694</x:v>
      </x:c>
      <x:c r="O327" s="16" t="n">
        <x:v>0.5920745920745921</x:v>
      </x:c>
    </x:row>
    <x:row r="328">
      <x:c r="A328" s="16" t="str">
        <x:v>Pacific Asia</x:v>
      </x:c>
      <x:c r="B328" s="16" t="str">
        <x:v>All</x:v>
      </x:c>
      <x:c r="C328" s="16" t="str">
        <x:v>2016-09</x:v>
      </x:c>
      <x:c r="D328" s="16" t="n">
        <x:v>1530</x:v>
      </x:c>
      <x:c r="E328" s="16" t="n">
        <x:v>517</x:v>
      </x:c>
      <x:c r="F328" s="16" t="n">
        <x:v>3343</x:v>
      </x:c>
      <x:c r="G328" s="16" t="n">
        <x:v>297721.68</x:v>
      </x:c>
      <x:c r="H328" s="16" t="n">
        <x:v>267251.08</x:v>
      </x:c>
      <x:c r="I328" s="16" t="n">
        <x:v>30470.96</x:v>
      </x:c>
      <x:c r="J328" s="16" t="n">
        <x:v>36287.32</x:v>
      </x:c>
      <x:c r="K328" s="16" t="n">
        <x:v>834</x:v>
      </x:c>
      <x:c r="L328" s="16" t="n">
        <x:v>575.86</x:v>
      </x:c>
      <x:c r="M328" s="16" t="n">
        <x:v>516.93</x:v>
      </x:c>
      <x:c r="N328" s="16" t="n">
        <x:v>0.13577988160047846</x:v>
      </x:c>
      <x:c r="O328" s="16" t="n">
        <x:v>0.5450980392156862</x:v>
      </x:c>
    </x:row>
    <x:row r="329">
      <x:c r="A329" s="16" t="str">
        <x:v>Pacific Asia</x:v>
      </x:c>
      <x:c r="B329" s="16" t="str">
        <x:v>All</x:v>
      </x:c>
      <x:c r="C329" s="16" t="str">
        <x:v>2016-10</x:v>
      </x:c>
      <x:c r="D329" s="16" t="n">
        <x:v>1862</x:v>
      </x:c>
      <x:c r="E329" s="16" t="n">
        <x:v>622</x:v>
      </x:c>
      <x:c r="F329" s="16" t="n">
        <x:v>4032</x:v>
      </x:c>
      <x:c r="G329" s="16" t="n">
        <x:v>359156.62</x:v>
      </x:c>
      <x:c r="H329" s="16" t="n">
        <x:v>322445.36</x:v>
      </x:c>
      <x:c r="I329" s="16" t="n">
        <x:v>36711.67</x:v>
      </x:c>
      <x:c r="J329" s="16" t="n">
        <x:v>41592.01</x:v>
      </x:c>
      <x:c r="K329" s="16" t="n">
        <x:v>1051</x:v>
      </x:c>
      <x:c r="L329" s="16" t="n">
        <x:v>577.42</x:v>
      </x:c>
      <x:c r="M329" s="16" t="n">
        <x:v>518.4</x:v>
      </x:c>
      <x:c r="N329" s="16" t="n">
        <x:v>0.1289893270599397</x:v>
      </x:c>
      <x:c r="O329" s="16" t="n">
        <x:v>0.5644468313641245</x:v>
      </x:c>
    </x:row>
    <x:row r="330">
      <x:c r="A330" s="16" t="str">
        <x:v>Pacific Asia</x:v>
      </x:c>
      <x:c r="B330" s="16" t="str">
        <x:v>All</x:v>
      </x:c>
      <x:c r="C330" s="16" t="str">
        <x:v>2016-11</x:v>
      </x:c>
      <x:c r="D330" s="16" t="n">
        <x:v>1577</x:v>
      </x:c>
      <x:c r="E330" s="16" t="n">
        <x:v>523</x:v>
      </x:c>
      <x:c r="F330" s="16" t="n">
        <x:v>3439</x:v>
      </x:c>
      <x:c r="G330" s="16" t="n">
        <x:v>312580.48</x:v>
      </x:c>
      <x:c r="H330" s="16" t="n">
        <x:v>280477.69</x:v>
      </x:c>
      <x:c r="I330" s="16" t="n">
        <x:v>32103.19</x:v>
      </x:c>
      <x:c r="J330" s="16" t="n">
        <x:v>35610.91</x:v>
      </x:c>
      <x:c r="K330" s="16" t="n">
        <x:v>870</x:v>
      </x:c>
      <x:c r="L330" s="16" t="n">
        <x:v>597.67</x:v>
      </x:c>
      <x:c r="M330" s="16" t="n">
        <x:v>536.29</x:v>
      </x:c>
      <x:c r="N330" s="16" t="n">
        <x:v>0.1269652142386084</x:v>
      </x:c>
      <x:c r="O330" s="16" t="n">
        <x:v>0.5516804058338618</x:v>
      </x:c>
    </x:row>
    <x:row r="331">
      <x:c r="A331" s="16" t="str">
        <x:v>Pacific Asia</x:v>
      </x:c>
      <x:c r="B331" s="16" t="str">
        <x:v>All</x:v>
      </x:c>
      <x:c r="C331" s="16" t="str">
        <x:v>2016-12</x:v>
      </x:c>
      <x:c r="D331" s="16" t="n">
        <x:v>1663</x:v>
      </x:c>
      <x:c r="E331" s="16" t="n">
        <x:v>560</x:v>
      </x:c>
      <x:c r="F331" s="16" t="n">
        <x:v>3752</x:v>
      </x:c>
      <x:c r="G331" s="16" t="n">
        <x:v>328521.18</x:v>
      </x:c>
      <x:c r="H331" s="16" t="n">
        <x:v>296349.5</x:v>
      </x:c>
      <x:c r="I331" s="16" t="n">
        <x:v>32172.06</x:v>
      </x:c>
      <x:c r="J331" s="16" t="n">
        <x:v>31404.51</x:v>
      </x:c>
      <x:c r="K331" s="16" t="n">
        <x:v>888</x:v>
      </x:c>
      <x:c r="L331" s="16" t="n">
        <x:v>586.64</x:v>
      </x:c>
      <x:c r="M331" s="16" t="n">
        <x:v>529.2</x:v>
      </x:c>
      <x:c r="N331" s="16" t="n">
        <x:v>0.10597119279769326</x:v>
      </x:c>
      <x:c r="O331" s="16" t="n">
        <x:v>0.533974744437763</x:v>
      </x:c>
    </x:row>
    <x:row r="332">
      <x:c r="A332" s="16" t="str">
        <x:v>Pacific Asia</x:v>
      </x:c>
      <x:c r="B332" s="16" t="str">
        <x:v>All</x:v>
      </x:c>
      <x:c r="C332" s="16" t="str">
        <x:v>2017-01</x:v>
      </x:c>
      <x:c r="D332" s="16" t="n">
        <x:v>1038</x:v>
      </x:c>
      <x:c r="E332" s="16" t="n">
        <x:v>364</x:v>
      </x:c>
      <x:c r="F332" s="16" t="n">
        <x:v>2319</x:v>
      </x:c>
      <x:c r="G332" s="16" t="n">
        <x:v>205248.46</x:v>
      </x:c>
      <x:c r="H332" s="16" t="n">
        <x:v>183690.87</x:v>
      </x:c>
      <x:c r="I332" s="16" t="n">
        <x:v>21557.85</x:v>
      </x:c>
      <x:c r="J332" s="16" t="n">
        <x:v>19088.7</x:v>
      </x:c>
      <x:c r="K332" s="16" t="n">
        <x:v>578</x:v>
      </x:c>
      <x:c r="L332" s="16" t="n">
        <x:v>563.87</x:v>
      </x:c>
      <x:c r="M332" s="16" t="n">
        <x:v>504.65</x:v>
      </x:c>
      <x:c r="N332" s="16" t="n">
        <x:v>0.10391752186703673</x:v>
      </x:c>
      <x:c r="O332" s="16" t="n">
        <x:v>0.5568400770712909</x:v>
      </x:c>
    </x:row>
    <x:row r="333">
      <x:c r="A333" s="16" t="str">
        <x:v>Pacific Asia</x:v>
      </x:c>
      <x:c r="B333" s="16" t="str">
        <x:v>All</x:v>
      </x:c>
      <x:c r="C333" s="16" t="str">
        <x:v>2017-11</x:v>
      </x:c>
      <x:c r="D333" s="16" t="n">
        <x:v>1373</x:v>
      </x:c>
      <x:c r="E333" s="16" t="n">
        <x:v>1373</x:v>
      </x:c>
      <x:c r="F333" s="16" t="n">
        <x:v>1373</x:v>
      </x:c>
      <x:c r="G333" s="16" t="n">
        <x:v>425291.11</x:v>
      </x:c>
      <x:c r="H333" s="16" t="n">
        <x:v>382239.6</x:v>
      </x:c>
      <x:c r="I333" s="16" t="n">
        <x:v>43052.07</x:v>
      </x:c>
      <x:c r="J333" s="16" t="n">
        <x:v>48429.55</x:v>
      </x:c>
      <x:c r="K333" s="16" t="n">
        <x:v>752</x:v>
      </x:c>
      <x:c r="L333" s="16" t="n">
        <x:v>309.75</x:v>
      </x:c>
      <x:c r="M333" s="16" t="n">
        <x:v>278.4</x:v>
      </x:c>
      <x:c r="N333" s="16" t="n">
        <x:v>0.12669945761768275</x:v>
      </x:c>
      <x:c r="O333" s="16" t="n">
        <x:v>0.5477057538237436</x:v>
      </x:c>
    </x:row>
    <x:row r="334">
      <x:c r="A334" s="16" t="str">
        <x:v>Pacific Asia</x:v>
      </x:c>
      <x:c r="B334" s="16" t="str">
        <x:v>All</x:v>
      </x:c>
      <x:c r="C334" s="16" t="str">
        <x:v>2017-12</x:v>
      </x:c>
      <x:c r="D334" s="16" t="n">
        <x:v>2124</x:v>
      </x:c>
      <x:c r="E334" s="16" t="n">
        <x:v>2124</x:v>
      </x:c>
      <x:c r="F334" s="16" t="n">
        <x:v>2124</x:v>
      </x:c>
      <x:c r="G334" s="16" t="n">
        <x:v>503910.81</x:v>
      </x:c>
      <x:c r="H334" s="16" t="n">
        <x:v>452741.53</x:v>
      </x:c>
      <x:c r="I334" s="16" t="n">
        <x:v>51170.48</x:v>
      </x:c>
      <x:c r="J334" s="16" t="n">
        <x:v>65837.63</x:v>
      </x:c>
      <x:c r="K334" s="16" t="n">
        <x:v>1172</x:v>
      </x:c>
      <x:c r="L334" s="16" t="n">
        <x:v>237.25</x:v>
      </x:c>
      <x:c r="M334" s="16" t="n">
        <x:v>213.16</x:v>
      </x:c>
      <x:c r="N334" s="16" t="n">
        <x:v>0.14541990437678645</x:v>
      </x:c>
      <x:c r="O334" s="16" t="n">
        <x:v>0.551789077212806</x:v>
      </x:c>
    </x:row>
    <x:row r="335">
      <x:c r="A335" s="16" t="str">
        <x:v>Pacific Asia</x:v>
      </x:c>
      <x:c r="B335" s="16" t="str">
        <x:v>All</x:v>
      </x:c>
      <x:c r="C335" s="16" t="str">
        <x:v>2018-01</x:v>
      </x:c>
      <x:c r="D335" s="16" t="n">
        <x:v>2123</x:v>
      </x:c>
      <x:c r="E335" s="16" t="n">
        <x:v>2123</x:v>
      </x:c>
      <x:c r="F335" s="16" t="n">
        <x:v>2123</x:v>
      </x:c>
      <x:c r="G335" s="16" t="n">
        <x:v>331650.11</x:v>
      </x:c>
      <x:c r="H335" s="16" t="n">
        <x:v>297952.05</x:v>
      </x:c>
      <x:c r="I335" s="16" t="n">
        <x:v>33699.93</x:v>
      </x:c>
      <x:c r="J335" s="16" t="n">
        <x:v>33841.89</x:v>
      </x:c>
      <x:c r="K335" s="16" t="n">
        <x:v>1195</x:v>
      </x:c>
      <x:c r="L335" s="16" t="n">
        <x:v>156.22</x:v>
      </x:c>
      <x:c r="M335" s="16" t="n">
        <x:v>140.34</x:v>
      </x:c>
      <x:c r="N335" s="16" t="n">
        <x:v>0.11358166523774547</x:v>
      </x:c>
      <x:c r="O335" s="16" t="n">
        <x:v>0.5628827131417805</x:v>
      </x:c>
    </x:row>
    <x:row r="336">
      <x:c r="A336" s="16" t="str">
        <x:v>Pacific Asia</x:v>
      </x:c>
      <x:c r="B336" s="16" t="str">
        <x:v>Consumer</x:v>
      </x:c>
      <x:c r="C336" s="16" t="str">
        <x:v>2015-10</x:v>
      </x:c>
      <x:c r="D336" s="16" t="n">
        <x:v>684</x:v>
      </x:c>
      <x:c r="E336" s="16" t="n">
        <x:v>228</x:v>
      </x:c>
      <x:c r="F336" s="16" t="n">
        <x:v>1480</x:v>
      </x:c>
      <x:c r="G336" s="16" t="n">
        <x:v>136243.01</x:v>
      </x:c>
      <x:c r="H336" s="16" t="n">
        <x:v>122888.72</x:v>
      </x:c>
      <x:c r="I336" s="16" t="n">
        <x:v>13354.47</x:v>
      </x:c>
      <x:c r="J336" s="16" t="n">
        <x:v>14680.88</x:v>
      </x:c>
      <x:c r="K336" s="16" t="n">
        <x:v>385</x:v>
      </x:c>
      <x:c r="L336" s="16" t="n">
        <x:v>597.56</x:v>
      </x:c>
      <x:c r="M336" s="16" t="n">
        <x:v>538.99</x:v>
      </x:c>
      <x:c r="N336" s="16" t="n">
        <x:v>0.1194648296442505</x:v>
      </x:c>
      <x:c r="O336" s="16" t="n">
        <x:v>0.5628654970760234</x:v>
      </x:c>
    </x:row>
    <x:row r="337">
      <x:c r="A337" s="16" t="str">
        <x:v>Pacific Asia</x:v>
      </x:c>
      <x:c r="B337" s="16" t="str">
        <x:v>Consumer</x:v>
      </x:c>
      <x:c r="C337" s="16" t="str">
        <x:v>2015-11</x:v>
      </x:c>
      <x:c r="D337" s="16" t="n">
        <x:v>2693</x:v>
      </x:c>
      <x:c r="E337" s="16" t="n">
        <x:v>902</x:v>
      </x:c>
      <x:c r="F337" s="16" t="n">
        <x:v>5977</x:v>
      </x:c>
      <x:c r="G337" s="16" t="n">
        <x:v>533532.73</x:v>
      </x:c>
      <x:c r="H337" s="16" t="n">
        <x:v>478963.51</x:v>
      </x:c>
      <x:c r="I337" s="16" t="n">
        <x:v>54569.9</x:v>
      </x:c>
      <x:c r="J337" s="16" t="n">
        <x:v>57617.46</x:v>
      </x:c>
      <x:c r="K337" s="16" t="n">
        <x:v>1497</x:v>
      </x:c>
      <x:c r="L337" s="16" t="n">
        <x:v>591.5</x:v>
      </x:c>
      <x:c r="M337" s="16" t="n">
        <x:v>531</x:v>
      </x:c>
      <x:c r="N337" s="16" t="n">
        <x:v>0.12029613696458838</x:v>
      </x:c>
      <x:c r="O337" s="16" t="n">
        <x:v>0.5558856294095804</x:v>
      </x:c>
    </x:row>
    <x:row r="338">
      <x:c r="A338" s="16" t="str">
        <x:v>Pacific Asia</x:v>
      </x:c>
      <x:c r="B338" s="16" t="str">
        <x:v>Consumer</x:v>
      </x:c>
      <x:c r="C338" s="16" t="str">
        <x:v>2015-12</x:v>
      </x:c>
      <x:c r="D338" s="16" t="n">
        <x:v>2719</x:v>
      </x:c>
      <x:c r="E338" s="16" t="n">
        <x:v>919</x:v>
      </x:c>
      <x:c r="F338" s="16" t="n">
        <x:v>5898</x:v>
      </x:c>
      <x:c r="G338" s="16" t="n">
        <x:v>535432.57</x:v>
      </x:c>
      <x:c r="H338" s="16" t="n">
        <x:v>481853.93</x:v>
      </x:c>
      <x:c r="I338" s="16" t="n">
        <x:v>53579.28</x:v>
      </x:c>
      <x:c r="J338" s="16" t="n">
        <x:v>57324.49</x:v>
      </x:c>
      <x:c r="K338" s="16" t="n">
        <x:v>1496</x:v>
      </x:c>
      <x:c r="L338" s="16" t="n">
        <x:v>582.63</x:v>
      </x:c>
      <x:c r="M338" s="16" t="n">
        <x:v>524.32</x:v>
      </x:c>
      <x:c r="N338" s="16" t="n">
        <x:v>0.11896652996064595</x:v>
      </x:c>
      <x:c r="O338" s="16" t="n">
        <x:v>0.550202280250092</x:v>
      </x:c>
    </x:row>
    <x:row r="339">
      <x:c r="A339" s="16" t="str">
        <x:v>Pacific Asia</x:v>
      </x:c>
      <x:c r="B339" s="16" t="str">
        <x:v>Consumer</x:v>
      </x:c>
      <x:c r="C339" s="16" t="str">
        <x:v>2016-01</x:v>
      </x:c>
      <x:c r="D339" s="16" t="n">
        <x:v>2689</x:v>
      </x:c>
      <x:c r="E339" s="16" t="n">
        <x:v>904</x:v>
      </x:c>
      <x:c r="F339" s="16" t="n">
        <x:v>5961</x:v>
      </x:c>
      <x:c r="G339" s="16" t="n">
        <x:v>527335.15</x:v>
      </x:c>
      <x:c r="H339" s="16" t="n">
        <x:v>473189.59</x:v>
      </x:c>
      <x:c r="I339" s="16" t="n">
        <x:v>54146.27</x:v>
      </x:c>
      <x:c r="J339" s="16" t="n">
        <x:v>48443</x:v>
      </x:c>
      <x:c r="K339" s="16" t="n">
        <x:v>1455</x:v>
      </x:c>
      <x:c r="L339" s="16" t="n">
        <x:v>583.34</x:v>
      </x:c>
      <x:c r="M339" s="16" t="n">
        <x:v>523.44</x:v>
      </x:c>
      <x:c r="N339" s="16" t="n">
        <x:v>0.10237545589284835</x:v>
      </x:c>
      <x:c r="O339" s="16" t="n">
        <x:v>0.5410933432502789</x:v>
      </x:c>
    </x:row>
    <x:row r="340">
      <x:c r="A340" s="16" t="str">
        <x:v>Pacific Asia</x:v>
      </x:c>
      <x:c r="B340" s="16" t="str">
        <x:v>Consumer</x:v>
      </x:c>
      <x:c r="C340" s="16" t="str">
        <x:v>2016-02</x:v>
      </x:c>
      <x:c r="D340" s="16" t="n">
        <x:v>2553</x:v>
      </x:c>
      <x:c r="E340" s="16" t="n">
        <x:v>871</x:v>
      </x:c>
      <x:c r="F340" s="16" t="n">
        <x:v>5632</x:v>
      </x:c>
      <x:c r="G340" s="16" t="n">
        <x:v>504990.78</x:v>
      </x:c>
      <x:c r="H340" s="16" t="n">
        <x:v>453237.57</x:v>
      </x:c>
      <x:c r="I340" s="16" t="n">
        <x:v>51753.86</x:v>
      </x:c>
      <x:c r="J340" s="16" t="n">
        <x:v>44059.47</x:v>
      </x:c>
      <x:c r="K340" s="16" t="n">
        <x:v>1388</x:v>
      </x:c>
      <x:c r="L340" s="16" t="n">
        <x:v>579.78</x:v>
      </x:c>
      <x:c r="M340" s="16" t="n">
        <x:v>520.36</x:v>
      </x:c>
      <x:c r="N340" s="16" t="n">
        <x:v>0.09721054236523244</x:v>
      </x:c>
      <x:c r="O340" s="16" t="n">
        <x:v>0.5436741088915001</x:v>
      </x:c>
    </x:row>
    <x:row r="341">
      <x:c r="A341" s="16" t="str">
        <x:v>Pacific Asia</x:v>
      </x:c>
      <x:c r="B341" s="16" t="str">
        <x:v>Consumer</x:v>
      </x:c>
      <x:c r="C341" s="16" t="str">
        <x:v>2016-03</x:v>
      </x:c>
      <x:c r="D341" s="16" t="n">
        <x:v>2708</x:v>
      </x:c>
      <x:c r="E341" s="16" t="n">
        <x:v>915</x:v>
      </x:c>
      <x:c r="F341" s="16" t="n">
        <x:v>5957</x:v>
      </x:c>
      <x:c r="G341" s="16" t="n">
        <x:v>539812.56</x:v>
      </x:c>
      <x:c r="H341" s="16" t="n">
        <x:v>485296.02</x:v>
      </x:c>
      <x:c r="I341" s="16" t="n">
        <x:v>54517.27</x:v>
      </x:c>
      <x:c r="J341" s="16" t="n">
        <x:v>53350.72</x:v>
      </x:c>
      <x:c r="K341" s="16" t="n">
        <x:v>1490</x:v>
      </x:c>
      <x:c r="L341" s="16" t="n">
        <x:v>589.96</x:v>
      </x:c>
      <x:c r="M341" s="16" t="n">
        <x:v>530.38</x:v>
      </x:c>
      <x:c r="N341" s="16" t="n">
        <x:v>0.10993438602690374</x:v>
      </x:c>
      <x:c r="O341" s="16" t="n">
        <x:v>0.5502215657311669</x:v>
      </x:c>
    </x:row>
    <x:row r="342">
      <x:c r="A342" s="16" t="str">
        <x:v>Pacific Asia</x:v>
      </x:c>
      <x:c r="B342" s="16" t="str">
        <x:v>Consumer</x:v>
      </x:c>
      <x:c r="C342" s="16" t="str">
        <x:v>2016-04</x:v>
      </x:c>
      <x:c r="D342" s="16" t="n">
        <x:v>65</x:v>
      </x:c>
      <x:c r="E342" s="16" t="n">
        <x:v>24</x:v>
      </x:c>
      <x:c r="F342" s="16" t="n">
        <x:v>160</x:v>
      </x:c>
      <x:c r="G342" s="16" t="n">
        <x:v>12275.18</x:v>
      </x:c>
      <x:c r="H342" s="16" t="n">
        <x:v>10991.93</x:v>
      </x:c>
      <x:c r="I342" s="16" t="n">
        <x:v>1283.27</x:v>
      </x:c>
      <x:c r="J342" s="16" t="n">
        <x:v>2626.84</x:v>
      </x:c>
      <x:c r="K342" s="16" t="n">
        <x:v>30</x:v>
      </x:c>
      <x:c r="L342" s="16" t="n">
        <x:v>511.47</x:v>
      </x:c>
      <x:c r="M342" s="16" t="n">
        <x:v>458</x:v>
      </x:c>
      <x:c r="N342" s="16" t="n">
        <x:v>0.2389789600188502</x:v>
      </x:c>
      <x:c r="O342" s="16" t="n">
        <x:v>0.46153846153846156</x:v>
      </x:c>
    </x:row>
    <x:row r="343">
      <x:c r="A343" s="16" t="str">
        <x:v>Pacific Asia</x:v>
      </x:c>
      <x:c r="B343" s="16" t="str">
        <x:v>Consumer</x:v>
      </x:c>
      <x:c r="C343" s="16" t="str">
        <x:v>2016-08</x:v>
      </x:c>
      <x:c r="D343" s="16" t="n">
        <x:v>221</x:v>
      </x:c>
      <x:c r="E343" s="16" t="n">
        <x:v>77</x:v>
      </x:c>
      <x:c r="F343" s="16" t="n">
        <x:v>477</x:v>
      </x:c>
      <x:c r="G343" s="16" t="n">
        <x:v>43216.82</x:v>
      </x:c>
      <x:c r="H343" s="16" t="n">
        <x:v>38785.06</x:v>
      </x:c>
      <x:c r="I343" s="16" t="n">
        <x:v>4431.8</x:v>
      </x:c>
      <x:c r="J343" s="16" t="n">
        <x:v>1499.3</x:v>
      </x:c>
      <x:c r="K343" s="16" t="n">
        <x:v>128</x:v>
      </x:c>
      <x:c r="L343" s="16" t="n">
        <x:v>561.26</x:v>
      </x:c>
      <x:c r="M343" s="16" t="n">
        <x:v>503.7</x:v>
      </x:c>
      <x:c r="N343" s="16" t="n">
        <x:v>0.03865663737531926</x:v>
      </x:c>
      <x:c r="O343" s="16" t="n">
        <x:v>0.579185520361991</x:v>
      </x:c>
    </x:row>
    <x:row r="344">
      <x:c r="A344" s="16" t="str">
        <x:v>Pacific Asia</x:v>
      </x:c>
      <x:c r="B344" s="16" t="str">
        <x:v>Consumer</x:v>
      </x:c>
      <x:c r="C344" s="16" t="str">
        <x:v>2016-09</x:v>
      </x:c>
      <x:c r="D344" s="16" t="n">
        <x:v>777</x:v>
      </x:c>
      <x:c r="E344" s="16" t="n">
        <x:v>260</x:v>
      </x:c>
      <x:c r="F344" s="16" t="n">
        <x:v>1694</x:v>
      </x:c>
      <x:c r="G344" s="16" t="n">
        <x:v>155949.51</x:v>
      </x:c>
      <x:c r="H344" s="16" t="n">
        <x:v>140036.23</x:v>
      </x:c>
      <x:c r="I344" s="16" t="n">
        <x:v>15913.46</x:v>
      </x:c>
      <x:c r="J344" s="16" t="n">
        <x:v>19552.26</x:v>
      </x:c>
      <x:c r="K344" s="16" t="n">
        <x:v>434</x:v>
      </x:c>
      <x:c r="L344" s="16" t="n">
        <x:v>599.81</x:v>
      </x:c>
      <x:c r="M344" s="16" t="n">
        <x:v>538.6</x:v>
      </x:c>
      <x:c r="N344" s="16" t="n">
        <x:v>0.1396228675964784</x:v>
      </x:c>
      <x:c r="O344" s="16" t="n">
        <x:v>0.5585585585585585</x:v>
      </x:c>
    </x:row>
    <x:row r="345">
      <x:c r="A345" s="16" t="str">
        <x:v>Pacific Asia</x:v>
      </x:c>
      <x:c r="B345" s="16" t="str">
        <x:v>Consumer</x:v>
      </x:c>
      <x:c r="C345" s="16" t="str">
        <x:v>2016-10</x:v>
      </x:c>
      <x:c r="D345" s="16" t="n">
        <x:v>1034</x:v>
      </x:c>
      <x:c r="E345" s="16" t="n">
        <x:v>338</x:v>
      </x:c>
      <x:c r="F345" s="16" t="n">
        <x:v>2241</x:v>
      </x:c>
      <x:c r="G345" s="16" t="n">
        <x:v>196383.69</x:v>
      </x:c>
      <x:c r="H345" s="16" t="n">
        <x:v>176633.17</x:v>
      </x:c>
      <x:c r="I345" s="16" t="n">
        <x:v>19750.7</x:v>
      </x:c>
      <x:c r="J345" s="16" t="n">
        <x:v>23340.01</x:v>
      </x:c>
      <x:c r="K345" s="16" t="n">
        <x:v>560</x:v>
      </x:c>
      <x:c r="L345" s="16" t="n">
        <x:v>581.02</x:v>
      </x:c>
      <x:c r="M345" s="16" t="n">
        <x:v>522.58</x:v>
      </x:c>
      <x:c r="N345" s="16" t="n">
        <x:v>0.1321383180746855</x:v>
      </x:c>
      <x:c r="O345" s="16" t="n">
        <x:v>0.5415860735009671</x:v>
      </x:c>
    </x:row>
    <x:row r="346">
      <x:c r="A346" s="16" t="str">
        <x:v>Pacific Asia</x:v>
      </x:c>
      <x:c r="B346" s="16" t="str">
        <x:v>Consumer</x:v>
      </x:c>
      <x:c r="C346" s="16" t="str">
        <x:v>2016-11</x:v>
      </x:c>
      <x:c r="D346" s="16" t="n">
        <x:v>864</x:v>
      </x:c>
      <x:c r="E346" s="16" t="n">
        <x:v>288</x:v>
      </x:c>
      <x:c r="F346" s="16" t="n">
        <x:v>1870</x:v>
      </x:c>
      <x:c r="G346" s="16" t="n">
        <x:v>170565.14</x:v>
      </x:c>
      <x:c r="H346" s="16" t="n">
        <x:v>153208.81</x:v>
      </x:c>
      <x:c r="I346" s="16" t="n">
        <x:v>17356.52</x:v>
      </x:c>
      <x:c r="J346" s="16" t="n">
        <x:v>18716.38</x:v>
      </x:c>
      <x:c r="K346" s="16" t="n">
        <x:v>458</x:v>
      </x:c>
      <x:c r="L346" s="16" t="n">
        <x:v>592.24</x:v>
      </x:c>
      <x:c r="M346" s="16" t="n">
        <x:v>531.98</x:v>
      </x:c>
      <x:c r="N346" s="16" t="n">
        <x:v>0.12216255710099179</x:v>
      </x:c>
      <x:c r="O346" s="16" t="n">
        <x:v>0.5300925925925926</x:v>
      </x:c>
    </x:row>
    <x:row r="347">
      <x:c r="A347" s="16" t="str">
        <x:v>Pacific Asia</x:v>
      </x:c>
      <x:c r="B347" s="16" t="str">
        <x:v>Consumer</x:v>
      </x:c>
      <x:c r="C347" s="16" t="str">
        <x:v>2016-12</x:v>
      </x:c>
      <x:c r="D347" s="16" t="n">
        <x:v>855</x:v>
      </x:c>
      <x:c r="E347" s="16" t="n">
        <x:v>286</x:v>
      </x:c>
      <x:c r="F347" s="16" t="n">
        <x:v>1905</x:v>
      </x:c>
      <x:c r="G347" s="16" t="n">
        <x:v>171096.04</x:v>
      </x:c>
      <x:c r="H347" s="16" t="n">
        <x:v>154472.83</x:v>
      </x:c>
      <x:c r="I347" s="16" t="n">
        <x:v>16623.39</x:v>
      </x:c>
      <x:c r="J347" s="16" t="n">
        <x:v>17079.2</x:v>
      </x:c>
      <x:c r="K347" s="16" t="n">
        <x:v>426</x:v>
      </x:c>
      <x:c r="L347" s="16" t="n">
        <x:v>598.24</x:v>
      </x:c>
      <x:c r="M347" s="16" t="n">
        <x:v>540.11</x:v>
      </x:c>
      <x:c r="N347" s="16" t="n">
        <x:v>0.11056442741419316</x:v>
      </x:c>
      <x:c r="O347" s="16" t="n">
        <x:v>0.4982456140350877</x:v>
      </x:c>
    </x:row>
    <x:row r="348">
      <x:c r="A348" s="16" t="str">
        <x:v>Pacific Asia</x:v>
      </x:c>
      <x:c r="B348" s="16" t="str">
        <x:v>Consumer</x:v>
      </x:c>
      <x:c r="C348" s="16" t="str">
        <x:v>2017-01</x:v>
      </x:c>
      <x:c r="D348" s="16" t="n">
        <x:v>552</x:v>
      </x:c>
      <x:c r="E348" s="16" t="n">
        <x:v>196</x:v>
      </x:c>
      <x:c r="F348" s="16" t="n">
        <x:v>1264</x:v>
      </x:c>
      <x:c r="G348" s="16" t="n">
        <x:v>108204.05</x:v>
      </x:c>
      <x:c r="H348" s="16" t="n">
        <x:v>97002.21</x:v>
      </x:c>
      <x:c r="I348" s="16" t="n">
        <x:v>11201.98</x:v>
      </x:c>
      <x:c r="J348" s="16" t="n">
        <x:v>7214.07</x:v>
      </x:c>
      <x:c r="K348" s="16" t="n">
        <x:v>304</x:v>
      </x:c>
      <x:c r="L348" s="16" t="n">
        <x:v>552.06</x:v>
      </x:c>
      <x:c r="M348" s="16" t="n">
        <x:v>494.91</x:v>
      </x:c>
      <x:c r="N348" s="16" t="n">
        <x:v>0.07437016125715074</x:v>
      </x:c>
      <x:c r="O348" s="16" t="n">
        <x:v>0.5507246376811594</x:v>
      </x:c>
    </x:row>
    <x:row r="349">
      <x:c r="A349" s="16" t="str">
        <x:v>Pacific Asia</x:v>
      </x:c>
      <x:c r="B349" s="16" t="str">
        <x:v>Consumer</x:v>
      </x:c>
      <x:c r="C349" s="16" t="str">
        <x:v>2017-11</x:v>
      </x:c>
      <x:c r="D349" s="16" t="n">
        <x:v>658</x:v>
      </x:c>
      <x:c r="E349" s="16" t="n">
        <x:v>658</x:v>
      </x:c>
      <x:c r="F349" s="16" t="n">
        <x:v>658</x:v>
      </x:c>
      <x:c r="G349" s="16" t="n">
        <x:v>210143.39</x:v>
      </x:c>
      <x:c r="H349" s="16" t="n">
        <x:v>189728.89</x:v>
      </x:c>
      <x:c r="I349" s="16" t="n">
        <x:v>20414.75</x:v>
      </x:c>
      <x:c r="J349" s="16" t="n">
        <x:v>25161.62</x:v>
      </x:c>
      <x:c r="K349" s="16" t="n">
        <x:v>358</x:v>
      </x:c>
      <x:c r="L349" s="16" t="n">
        <x:v>319.37</x:v>
      </x:c>
      <x:c r="M349" s="16" t="n">
        <x:v>288.34</x:v>
      </x:c>
      <x:c r="N349" s="16" t="n">
        <x:v>0.1326188120322635</x:v>
      </x:c>
      <x:c r="O349" s="16" t="n">
        <x:v>0.5440729483282675</x:v>
      </x:c>
    </x:row>
    <x:row r="350">
      <x:c r="A350" s="16" t="str">
        <x:v>Pacific Asia</x:v>
      </x:c>
      <x:c r="B350" s="16" t="str">
        <x:v>Consumer</x:v>
      </x:c>
      <x:c r="C350" s="16" t="str">
        <x:v>2017-12</x:v>
      </x:c>
      <x:c r="D350" s="16" t="n">
        <x:v>1143</x:v>
      </x:c>
      <x:c r="E350" s="16" t="n">
        <x:v>1143</x:v>
      </x:c>
      <x:c r="F350" s="16" t="n">
        <x:v>1143</x:v>
      </x:c>
      <x:c r="G350" s="16" t="n">
        <x:v>278849.77</x:v>
      </x:c>
      <x:c r="H350" s="16" t="n">
        <x:v>251145.38</x:v>
      </x:c>
      <x:c r="I350" s="16" t="n">
        <x:v>27705.01</x:v>
      </x:c>
      <x:c r="J350" s="16" t="n">
        <x:v>43002.48</x:v>
      </x:c>
      <x:c r="K350" s="16" t="n">
        <x:v>610</x:v>
      </x:c>
      <x:c r="L350" s="16" t="n">
        <x:v>243.96</x:v>
      </x:c>
      <x:c r="M350" s="16" t="n">
        <x:v>219.72</x:v>
      </x:c>
      <x:c r="N350" s="16" t="n">
        <x:v>0.17122544718919377</x:v>
      </x:c>
      <x:c r="O350" s="16" t="n">
        <x:v>0.5336832895888014</x:v>
      </x:c>
    </x:row>
    <x:row r="351">
      <x:c r="A351" s="16" t="str">
        <x:v>Pacific Asia</x:v>
      </x:c>
      <x:c r="B351" s="16" t="str">
        <x:v>Consumer</x:v>
      </x:c>
      <x:c r="C351" s="16" t="str">
        <x:v>2018-01</x:v>
      </x:c>
      <x:c r="D351" s="16" t="n">
        <x:v>1069</x:v>
      </x:c>
      <x:c r="E351" s="16" t="n">
        <x:v>1069</x:v>
      </x:c>
      <x:c r="F351" s="16" t="n">
        <x:v>1069</x:v>
      </x:c>
      <x:c r="G351" s="16" t="n">
        <x:v>162830.24</x:v>
      </x:c>
      <x:c r="H351" s="16" t="n">
        <x:v>146373.36</x:v>
      </x:c>
      <x:c r="I351" s="16" t="n">
        <x:v>16457.91</x:v>
      </x:c>
      <x:c r="J351" s="16" t="n">
        <x:v>11961.25</x:v>
      </x:c>
      <x:c r="K351" s="16" t="n">
        <x:v>573</x:v>
      </x:c>
      <x:c r="L351" s="16" t="n">
        <x:v>152.32</x:v>
      </x:c>
      <x:c r="M351" s="16" t="n">
        <x:v>136.93</x:v>
      </x:c>
      <x:c r="N351" s="16" t="n">
        <x:v>0.08171739720943758</x:v>
      </x:c>
      <x:c r="O351" s="16" t="n">
        <x:v>0.5360149672591207</x:v>
      </x:c>
    </x:row>
    <x:row r="352">
      <x:c r="A352" s="16" t="str">
        <x:v>Pacific Asia</x:v>
      </x:c>
      <x:c r="B352" s="16" t="str">
        <x:v>Corporate</x:v>
      </x:c>
      <x:c r="C352" s="16" t="str">
        <x:v>2015-10</x:v>
      </x:c>
      <x:c r="D352" s="16" t="n">
        <x:v>403</x:v>
      </x:c>
      <x:c r="E352" s="16" t="n">
        <x:v>139</x:v>
      </x:c>
      <x:c r="F352" s="16" t="n">
        <x:v>882</x:v>
      </x:c>
      <x:c r="G352" s="16" t="n">
        <x:v>80321.27</x:v>
      </x:c>
      <x:c r="H352" s="16" t="n">
        <x:v>72296.67</x:v>
      </x:c>
      <x:c r="I352" s="16" t="n">
        <x:v>8024.7</x:v>
      </x:c>
      <x:c r="J352" s="16" t="n">
        <x:v>6689.6</x:v>
      </x:c>
      <x:c r="K352" s="16" t="n">
        <x:v>210</x:v>
      </x:c>
      <x:c r="L352" s="16" t="n">
        <x:v>577.85</x:v>
      </x:c>
      <x:c r="M352" s="16" t="n">
        <x:v>520.12</x:v>
      </x:c>
      <x:c r="N352" s="16" t="n">
        <x:v>0.09252984957675091</x:v>
      </x:c>
      <x:c r="O352" s="16" t="n">
        <x:v>0.5210918114143921</x:v>
      </x:c>
    </x:row>
    <x:row r="353">
      <x:c r="A353" s="16" t="str">
        <x:v>Pacific Asia</x:v>
      </x:c>
      <x:c r="B353" s="16" t="str">
        <x:v>Corporate</x:v>
      </x:c>
      <x:c r="C353" s="16" t="str">
        <x:v>2015-11</x:v>
      </x:c>
      <x:c r="D353" s="16" t="n">
        <x:v>1582</x:v>
      </x:c>
      <x:c r="E353" s="16" t="n">
        <x:v>518</x:v>
      </x:c>
      <x:c r="F353" s="16" t="n">
        <x:v>3443</x:v>
      </x:c>
      <x:c r="G353" s="16" t="n">
        <x:v>303815.09</x:v>
      </x:c>
      <x:c r="H353" s="16" t="n">
        <x:v>273160.58</x:v>
      </x:c>
      <x:c r="I353" s="16" t="n">
        <x:v>30654.86</x:v>
      </x:c>
      <x:c r="J353" s="16" t="n">
        <x:v>23562.54</x:v>
      </x:c>
      <x:c r="K353" s="16" t="n">
        <x:v>843</x:v>
      </x:c>
      <x:c r="L353" s="16" t="n">
        <x:v>586.52</x:v>
      </x:c>
      <x:c r="M353" s="16" t="n">
        <x:v>527.34</x:v>
      </x:c>
      <x:c r="N353" s="16" t="n">
        <x:v>0.08625893238328898</x:v>
      </x:c>
      <x:c r="O353" s="16" t="n">
        <x:v>0.5328697850821744</x:v>
      </x:c>
    </x:row>
    <x:row r="354">
      <x:c r="A354" s="16" t="str">
        <x:v>Pacific Asia</x:v>
      </x:c>
      <x:c r="B354" s="16" t="str">
        <x:v>Corporate</x:v>
      </x:c>
      <x:c r="C354" s="16" t="str">
        <x:v>2015-12</x:v>
      </x:c>
      <x:c r="D354" s="16" t="n">
        <x:v>1700</x:v>
      </x:c>
      <x:c r="E354" s="16" t="n">
        <x:v>568</x:v>
      </x:c>
      <x:c r="F354" s="16" t="n">
        <x:v>3758</x:v>
      </x:c>
      <x:c r="G354" s="16" t="n">
        <x:v>336029.03</x:v>
      </x:c>
      <x:c r="H354" s="16" t="n">
        <x:v>300944.94</x:v>
      </x:c>
      <x:c r="I354" s="16" t="n">
        <x:v>35084.55</x:v>
      </x:c>
      <x:c r="J354" s="16" t="n">
        <x:v>33959.04</x:v>
      </x:c>
      <x:c r="K354" s="16" t="n">
        <x:v>938</x:v>
      </x:c>
      <x:c r="L354" s="16" t="n">
        <x:v>591.6</x:v>
      </x:c>
      <x:c r="M354" s="16" t="n">
        <x:v>529.83</x:v>
      </x:c>
      <x:c r="N354" s="16" t="n">
        <x:v>0.1128413722457005</x:v>
      </x:c>
      <x:c r="O354" s="16" t="n">
        <x:v>0.5517647058823529</x:v>
      </x:c>
    </x:row>
    <x:row r="355">
      <x:c r="A355" s="16" t="str">
        <x:v>Pacific Asia</x:v>
      </x:c>
      <x:c r="B355" s="16" t="str">
        <x:v>Corporate</x:v>
      </x:c>
      <x:c r="C355" s="16" t="str">
        <x:v>2016-01</x:v>
      </x:c>
      <x:c r="D355" s="16" t="n">
        <x:v>1681</x:v>
      </x:c>
      <x:c r="E355" s="16" t="n">
        <x:v>556</x:v>
      </x:c>
      <x:c r="F355" s="16" t="n">
        <x:v>3559</x:v>
      </x:c>
      <x:c r="G355" s="16" t="n">
        <x:v>330304.83</x:v>
      </x:c>
      <x:c r="H355" s="16" t="n">
        <x:v>297414.47</x:v>
      </x:c>
      <x:c r="I355" s="16" t="n">
        <x:v>32890.66</x:v>
      </x:c>
      <x:c r="J355" s="16" t="n">
        <x:v>36241.36</x:v>
      </x:c>
      <x:c r="K355" s="16" t="n">
        <x:v>973</x:v>
      </x:c>
      <x:c r="L355" s="16" t="n">
        <x:v>594.07</x:v>
      </x:c>
      <x:c r="M355" s="16" t="n">
        <x:v>534.92</x:v>
      </x:c>
      <x:c r="N355" s="16" t="n">
        <x:v>0.12185473020192998</x:v>
      </x:c>
      <x:c r="O355" s="16" t="n">
        <x:v>0.5788221296847115</x:v>
      </x:c>
    </x:row>
    <x:row r="356">
      <x:c r="A356" s="16" t="str">
        <x:v>Pacific Asia</x:v>
      </x:c>
      <x:c r="B356" s="16" t="str">
        <x:v>Corporate</x:v>
      </x:c>
      <x:c r="C356" s="16" t="str">
        <x:v>2016-02</x:v>
      </x:c>
      <x:c r="D356" s="16" t="n">
        <x:v>1439</x:v>
      </x:c>
      <x:c r="E356" s="16" t="n">
        <x:v>488</x:v>
      </x:c>
      <x:c r="F356" s="16" t="n">
        <x:v>3127</x:v>
      </x:c>
      <x:c r="G356" s="16" t="n">
        <x:v>283960.26</x:v>
      </x:c>
      <x:c r="H356" s="16" t="n">
        <x:v>255060.87</x:v>
      </x:c>
      <x:c r="I356" s="16" t="n">
        <x:v>28899.71</x:v>
      </x:c>
      <x:c r="J356" s="16" t="n">
        <x:v>29754.17</x:v>
      </x:c>
      <x:c r="K356" s="16" t="n">
        <x:v>783</x:v>
      </x:c>
      <x:c r="L356" s="16" t="n">
        <x:v>581.89</x:v>
      </x:c>
      <x:c r="M356" s="16" t="n">
        <x:v>522.67</x:v>
      </x:c>
      <x:c r="N356" s="16" t="n">
        <x:v>0.11665517333176195</x:v>
      </x:c>
      <x:c r="O356" s="16" t="n">
        <x:v>0.5441278665740097</x:v>
      </x:c>
    </x:row>
    <x:row r="357">
      <x:c r="A357" s="16" t="str">
        <x:v>Pacific Asia</x:v>
      </x:c>
      <x:c r="B357" s="16" t="str">
        <x:v>Corporate</x:v>
      </x:c>
      <x:c r="C357" s="16" t="str">
        <x:v>2016-03</x:v>
      </x:c>
      <x:c r="D357" s="16" t="n">
        <x:v>1527</x:v>
      </x:c>
      <x:c r="E357" s="16" t="n">
        <x:v>519</x:v>
      </x:c>
      <x:c r="F357" s="16" t="n">
        <x:v>3289</x:v>
      </x:c>
      <x:c r="G357" s="16" t="n">
        <x:v>297087.81</x:v>
      </x:c>
      <x:c r="H357" s="16" t="n">
        <x:v>266567.05</x:v>
      </x:c>
      <x:c r="I357" s="16" t="n">
        <x:v>30521.13</x:v>
      </x:c>
      <x:c r="J357" s="16" t="n">
        <x:v>31573.18</x:v>
      </x:c>
      <x:c r="K357" s="16" t="n">
        <x:v>851</x:v>
      </x:c>
      <x:c r="L357" s="16" t="n">
        <x:v>572.42</x:v>
      </x:c>
      <x:c r="M357" s="16" t="n">
        <x:v>513.62</x:v>
      </x:c>
      <x:c r="N357" s="16" t="n">
        <x:v>0.1184436711138905</x:v>
      </x:c>
      <x:c r="O357" s="16" t="n">
        <x:v>0.5573018991486575</x:v>
      </x:c>
    </x:row>
    <x:row r="358">
      <x:c r="A358" s="16" t="str">
        <x:v>Pacific Asia</x:v>
      </x:c>
      <x:c r="B358" s="16" t="str">
        <x:v>Corporate</x:v>
      </x:c>
      <x:c r="C358" s="16" t="str">
        <x:v>2016-04</x:v>
      </x:c>
      <x:c r="D358" s="16" t="n">
        <x:v>50</x:v>
      </x:c>
      <x:c r="E358" s="16" t="n">
        <x:v>14</x:v>
      </x:c>
      <x:c r="F358" s="16" t="n">
        <x:v>124</x:v>
      </x:c>
      <x:c r="G358" s="16" t="n">
        <x:v>11229.9</x:v>
      </x:c>
      <x:c r="H358" s="16" t="n">
        <x:v>10119.26</x:v>
      </x:c>
      <x:c r="I358" s="16" t="n">
        <x:v>1110.66</x:v>
      </x:c>
      <x:c r="J358" s="16" t="n">
        <x:v>1666.06</x:v>
      </x:c>
      <x:c r="K358" s="16" t="n">
        <x:v>29</x:v>
      </x:c>
      <x:c r="L358" s="16" t="n">
        <x:v>802.14</x:v>
      </x:c>
      <x:c r="M358" s="16" t="n">
        <x:v>722.8</x:v>
      </x:c>
      <x:c r="N358" s="16" t="n">
        <x:v>0.164642473856784</x:v>
      </x:c>
      <x:c r="O358" s="16" t="n">
        <x:v>0.58</x:v>
      </x:c>
    </x:row>
    <x:row r="359">
      <x:c r="A359" s="16" t="str">
        <x:v>Pacific Asia</x:v>
      </x:c>
      <x:c r="B359" s="16" t="str">
        <x:v>Corporate</x:v>
      </x:c>
      <x:c r="C359" s="16" t="str">
        <x:v>2016-08</x:v>
      </x:c>
      <x:c r="D359" s="16" t="n">
        <x:v>126</x:v>
      </x:c>
      <x:c r="E359" s="16" t="n">
        <x:v>38</x:v>
      </x:c>
      <x:c r="F359" s="16" t="n">
        <x:v>249</x:v>
      </x:c>
      <x:c r="G359" s="16" t="n">
        <x:v>23534.38</x:v>
      </x:c>
      <x:c r="H359" s="16" t="n">
        <x:v>20893.66</x:v>
      </x:c>
      <x:c r="I359" s="16" t="n">
        <x:v>2640.77</x:v>
      </x:c>
      <x:c r="J359" s="16" t="n">
        <x:v>1859.75</x:v>
      </x:c>
      <x:c r="K359" s="16" t="n">
        <x:v>71</x:v>
      </x:c>
      <x:c r="L359" s="16" t="n">
        <x:v>619.33</x:v>
      </x:c>
      <x:c r="M359" s="16" t="n">
        <x:v>549.83</x:v>
      </x:c>
      <x:c r="N359" s="16" t="n">
        <x:v>0.08901025478542295</x:v>
      </x:c>
      <x:c r="O359" s="16" t="n">
        <x:v>0.5634920634920635</x:v>
      </x:c>
    </x:row>
    <x:row r="360">
      <x:c r="A360" s="16" t="str">
        <x:v>Pacific Asia</x:v>
      </x:c>
      <x:c r="B360" s="16" t="str">
        <x:v>Corporate</x:v>
      </x:c>
      <x:c r="C360" s="16" t="str">
        <x:v>2016-09</x:v>
      </x:c>
      <x:c r="D360" s="16" t="n">
        <x:v>523</x:v>
      </x:c>
      <x:c r="E360" s="16" t="n">
        <x:v>175</x:v>
      </x:c>
      <x:c r="F360" s="16" t="n">
        <x:v>1142</x:v>
      </x:c>
      <x:c r="G360" s="16" t="n">
        <x:v>96812.53</x:v>
      </x:c>
      <x:c r="H360" s="16" t="n">
        <x:v>86651.44</x:v>
      </x:c>
      <x:c r="I360" s="16" t="n">
        <x:v>10161.21</x:v>
      </x:c>
      <x:c r="J360" s="16" t="n">
        <x:v>12790.44</x:v>
      </x:c>
      <x:c r="K360" s="16" t="n">
        <x:v>298</x:v>
      </x:c>
      <x:c r="L360" s="16" t="n">
        <x:v>553.21</x:v>
      </x:c>
      <x:c r="M360" s="16" t="n">
        <x:v>495.15</x:v>
      </x:c>
      <x:c r="N360" s="16" t="n">
        <x:v>0.1476079335784841</x:v>
      </x:c>
      <x:c r="O360" s="16" t="n">
        <x:v>0.5697896749521989</x:v>
      </x:c>
    </x:row>
    <x:row r="361">
      <x:c r="A361" s="16" t="str">
        <x:v>Pacific Asia</x:v>
      </x:c>
      <x:c r="B361" s="16" t="str">
        <x:v>Corporate</x:v>
      </x:c>
      <x:c r="C361" s="16" t="str">
        <x:v>2016-10</x:v>
      </x:c>
      <x:c r="D361" s="16" t="n">
        <x:v>517</x:v>
      </x:c>
      <x:c r="E361" s="16" t="n">
        <x:v>176</x:v>
      </x:c>
      <x:c r="F361" s="16" t="n">
        <x:v>1149</x:v>
      </x:c>
      <x:c r="G361" s="16" t="n">
        <x:v>100127.11</x:v>
      </x:c>
      <x:c r="H361" s="16" t="n">
        <x:v>89876.22</x:v>
      </x:c>
      <x:c r="I361" s="16" t="n">
        <x:v>10251.03</x:v>
      </x:c>
      <x:c r="J361" s="16" t="n">
        <x:v>11370.21</x:v>
      </x:c>
      <x:c r="K361" s="16" t="n">
        <x:v>286</x:v>
      </x:c>
      <x:c r="L361" s="16" t="n">
        <x:v>568.9</x:v>
      </x:c>
      <x:c r="M361" s="16" t="n">
        <x:v>510.66</x:v>
      </x:c>
      <x:c r="N361" s="16" t="n">
        <x:v>0.12650965961852867</x:v>
      </x:c>
      <x:c r="O361" s="16" t="n">
        <x:v>0.5531914893617021</x:v>
      </x:c>
    </x:row>
    <x:row r="362">
      <x:c r="A362" s="16" t="str">
        <x:v>Pacific Asia</x:v>
      </x:c>
      <x:c r="B362" s="16" t="str">
        <x:v>Corporate</x:v>
      </x:c>
      <x:c r="C362" s="16" t="str">
        <x:v>2016-11</x:v>
      </x:c>
      <x:c r="D362" s="16" t="n">
        <x:v>434</x:v>
      </x:c>
      <x:c r="E362" s="16" t="n">
        <x:v>142</x:v>
      </x:c>
      <x:c r="F362" s="16" t="n">
        <x:v>989</x:v>
      </x:c>
      <x:c r="G362" s="16" t="n">
        <x:v>86751.49</x:v>
      </x:c>
      <x:c r="H362" s="16" t="n">
        <x:v>77422.55</x:v>
      </x:c>
      <x:c r="I362" s="16" t="n">
        <x:v>9329.07</x:v>
      </x:c>
      <x:c r="J362" s="16" t="n">
        <x:v>9867.47</x:v>
      </x:c>
      <x:c r="K362" s="16" t="n">
        <x:v>279</x:v>
      </x:c>
      <x:c r="L362" s="16" t="n">
        <x:v>610.93</x:v>
      </x:c>
      <x:c r="M362" s="16" t="n">
        <x:v>545.23</x:v>
      </x:c>
      <x:c r="N362" s="16" t="n">
        <x:v>0.12744956088374768</x:v>
      </x:c>
      <x:c r="O362" s="16" t="n">
        <x:v>0.6428571428571429</x:v>
      </x:c>
    </x:row>
    <x:row r="363">
      <x:c r="A363" s="16" t="str">
        <x:v>Pacific Asia</x:v>
      </x:c>
      <x:c r="B363" s="16" t="str">
        <x:v>Corporate</x:v>
      </x:c>
      <x:c r="C363" s="16" t="str">
        <x:v>2016-12</x:v>
      </x:c>
      <x:c r="D363" s="16" t="n">
        <x:v>470</x:v>
      </x:c>
      <x:c r="E363" s="16" t="n">
        <x:v>161</x:v>
      </x:c>
      <x:c r="F363" s="16" t="n">
        <x:v>1046</x:v>
      </x:c>
      <x:c r="G363" s="16" t="n">
        <x:v>92795.38</x:v>
      </x:c>
      <x:c r="H363" s="16" t="n">
        <x:v>83510.8</x:v>
      </x:c>
      <x:c r="I363" s="16" t="n">
        <x:v>9284.68</x:v>
      </x:c>
      <x:c r="J363" s="16" t="n">
        <x:v>8893.88</x:v>
      </x:c>
      <x:c r="K363" s="16" t="n">
        <x:v>270</x:v>
      </x:c>
      <x:c r="L363" s="16" t="n">
        <x:v>576.37</x:v>
      </x:c>
      <x:c r="M363" s="16" t="n">
        <x:v>518.7</x:v>
      </x:c>
      <x:c r="N363" s="16" t="n">
        <x:v>0.10649975811511803</x:v>
      </x:c>
      <x:c r="O363" s="16" t="n">
        <x:v>0.574468085106383</x:v>
      </x:c>
    </x:row>
    <x:row r="364">
      <x:c r="A364" s="16" t="str">
        <x:v>Pacific Asia</x:v>
      </x:c>
      <x:c r="B364" s="16" t="str">
        <x:v>Corporate</x:v>
      </x:c>
      <x:c r="C364" s="16" t="str">
        <x:v>2017-01</x:v>
      </x:c>
      <x:c r="D364" s="16" t="n">
        <x:v>348</x:v>
      </x:c>
      <x:c r="E364" s="16" t="n">
        <x:v>116</x:v>
      </x:c>
      <x:c r="F364" s="16" t="n">
        <x:v>752</x:v>
      </x:c>
      <x:c r="G364" s="16" t="n">
        <x:v>69822.37</x:v>
      </x:c>
      <x:c r="H364" s="16" t="n">
        <x:v>62471.9</x:v>
      </x:c>
      <x:c r="I364" s="16" t="n">
        <x:v>7350.56</x:v>
      </x:c>
      <x:c r="J364" s="16" t="n">
        <x:v>6895.89</x:v>
      </x:c>
      <x:c r="K364" s="16" t="n">
        <x:v>201</x:v>
      </x:c>
      <x:c r="L364" s="16" t="n">
        <x:v>601.92</x:v>
      </x:c>
      <x:c r="M364" s="16" t="n">
        <x:v>538.55</x:v>
      </x:c>
      <x:c r="N364" s="16" t="n">
        <x:v>0.11038386858731686</x:v>
      </x:c>
      <x:c r="O364" s="16" t="n">
        <x:v>0.5775862068965517</x:v>
      </x:c>
    </x:row>
    <x:row r="365">
      <x:c r="A365" s="16" t="str">
        <x:v>Pacific Asia</x:v>
      </x:c>
      <x:c r="B365" s="16" t="str">
        <x:v>Corporate</x:v>
      </x:c>
      <x:c r="C365" s="16" t="str">
        <x:v>2017-11</x:v>
      </x:c>
      <x:c r="D365" s="16" t="n">
        <x:v>475</x:v>
      </x:c>
      <x:c r="E365" s="16" t="n">
        <x:v>475</x:v>
      </x:c>
      <x:c r="F365" s="16" t="n">
        <x:v>475</x:v>
      </x:c>
      <x:c r="G365" s="16" t="n">
        <x:v>146039.56</x:v>
      </x:c>
      <x:c r="H365" s="16" t="n">
        <x:v>130379.24</x:v>
      </x:c>
      <x:c r="I365" s="16" t="n">
        <x:v>15660.53</x:v>
      </x:c>
      <x:c r="J365" s="16" t="n">
        <x:v>16547.16</x:v>
      </x:c>
      <x:c r="K365" s="16" t="n">
        <x:v>258</x:v>
      </x:c>
      <x:c r="L365" s="16" t="n">
        <x:v>307.45</x:v>
      </x:c>
      <x:c r="M365" s="16" t="n">
        <x:v>274.48</x:v>
      </x:c>
      <x:c r="N365" s="16" t="n">
        <x:v>0.12691560404862</x:v>
      </x:c>
      <x:c r="O365" s="16" t="n">
        <x:v>0.5431578947368421</x:v>
      </x:c>
    </x:row>
    <x:row r="366">
      <x:c r="A366" s="16" t="str">
        <x:v>Pacific Asia</x:v>
      </x:c>
      <x:c r="B366" s="16" t="str">
        <x:v>Corporate</x:v>
      </x:c>
      <x:c r="C366" s="16" t="str">
        <x:v>2017-12</x:v>
      </x:c>
      <x:c r="D366" s="16" t="n">
        <x:v>614</x:v>
      </x:c>
      <x:c r="E366" s="16" t="n">
        <x:v>614</x:v>
      </x:c>
      <x:c r="F366" s="16" t="n">
        <x:v>614</x:v>
      </x:c>
      <x:c r="G366" s="16" t="n">
        <x:v>152231.34</x:v>
      </x:c>
      <x:c r="H366" s="16" t="n">
        <x:v>136091.31</x:v>
      </x:c>
      <x:c r="I366" s="16" t="n">
        <x:v>16140.39</x:v>
      </x:c>
      <x:c r="J366" s="16" t="n">
        <x:v>14541.36</x:v>
      </x:c>
      <x:c r="K366" s="16" t="n">
        <x:v>357</x:v>
      </x:c>
      <x:c r="L366" s="16" t="n">
        <x:v>247.93</x:v>
      </x:c>
      <x:c r="M366" s="16" t="n">
        <x:v>221.65</x:v>
      </x:c>
      <x:c r="N366" s="16" t="n">
        <x:v>0.10685002591274932</x:v>
      </x:c>
      <x:c r="O366" s="16" t="n">
        <x:v>0.5814332247557004</x:v>
      </x:c>
    </x:row>
    <x:row r="367">
      <x:c r="A367" s="16" t="str">
        <x:v>Pacific Asia</x:v>
      </x:c>
      <x:c r="B367" s="16" t="str">
        <x:v>Corporate</x:v>
      </x:c>
      <x:c r="C367" s="16" t="str">
        <x:v>2018-01</x:v>
      </x:c>
      <x:c r="D367" s="16" t="n">
        <x:v>619</x:v>
      </x:c>
      <x:c r="E367" s="16" t="n">
        <x:v>619</x:v>
      </x:c>
      <x:c r="F367" s="16" t="n">
        <x:v>619</x:v>
      </x:c>
      <x:c r="G367" s="16" t="n">
        <x:v>104730.19</x:v>
      </x:c>
      <x:c r="H367" s="16" t="n">
        <x:v>94169.02</x:v>
      </x:c>
      <x:c r="I367" s="16" t="n">
        <x:v>10561.62</x:v>
      </x:c>
      <x:c r="J367" s="16" t="n">
        <x:v>11897.4</x:v>
      </x:c>
      <x:c r="K367" s="16" t="n">
        <x:v>364</x:v>
      </x:c>
      <x:c r="L367" s="16" t="n">
        <x:v>169.19</x:v>
      </x:c>
      <x:c r="M367" s="16" t="n">
        <x:v>152.13</x:v>
      </x:c>
      <x:c r="N367" s="16" t="n">
        <x:v>0.12634091339168654</x:v>
      </x:c>
      <x:c r="O367" s="16" t="n">
        <x:v>0.5880452342487884</x:v>
      </x:c>
    </x:row>
    <x:row r="368">
      <x:c r="A368" s="16" t="str">
        <x:v>Pacific Asia</x:v>
      </x:c>
      <x:c r="B368" s="16" t="str">
        <x:v>Home Office</x:v>
      </x:c>
      <x:c r="C368" s="16" t="str">
        <x:v>2015-10</x:v>
      </x:c>
      <x:c r="D368" s="16" t="n">
        <x:v>268</x:v>
      </x:c>
      <x:c r="E368" s="16" t="n">
        <x:v>90</x:v>
      </x:c>
      <x:c r="F368" s="16" t="n">
        <x:v>576</x:v>
      </x:c>
      <x:c r="G368" s="16" t="n">
        <x:v>51712.12</x:v>
      </x:c>
      <x:c r="H368" s="16" t="n">
        <x:v>46408.93</x:v>
      </x:c>
      <x:c r="I368" s="16" t="n">
        <x:v>5303.26</x:v>
      </x:c>
      <x:c r="J368" s="16" t="n">
        <x:v>6136.52</x:v>
      </x:c>
      <x:c r="K368" s="16" t="n">
        <x:v>146</x:v>
      </x:c>
      <x:c r="L368" s="16" t="n">
        <x:v>574.58</x:v>
      </x:c>
      <x:c r="M368" s="16" t="n">
        <x:v>515.65</x:v>
      </x:c>
      <x:c r="N368" s="16" t="n">
        <x:v>0.13222713818224208</x:v>
      </x:c>
      <x:c r="O368" s="16" t="n">
        <x:v>0.5447761194029851</x:v>
      </x:c>
    </x:row>
    <x:row r="369">
      <x:c r="A369" s="16" t="str">
        <x:v>Pacific Asia</x:v>
      </x:c>
      <x:c r="B369" s="16" t="str">
        <x:v>Home Office</x:v>
      </x:c>
      <x:c r="C369" s="16" t="str">
        <x:v>2015-11</x:v>
      </x:c>
      <x:c r="D369" s="16" t="n">
        <x:v>960</x:v>
      </x:c>
      <x:c r="E369" s="16" t="n">
        <x:v>309</x:v>
      </x:c>
      <x:c r="F369" s="16" t="n">
        <x:v>2043</x:v>
      </x:c>
      <x:c r="G369" s="16" t="n">
        <x:v>191772.4</x:v>
      </x:c>
      <x:c r="H369" s="16" t="n">
        <x:v>172478.47</x:v>
      </x:c>
      <x:c r="I369" s="16" t="n">
        <x:v>19294.21</x:v>
      </x:c>
      <x:c r="J369" s="16" t="n">
        <x:v>23247.36</x:v>
      </x:c>
      <x:c r="K369" s="16" t="n">
        <x:v>501</x:v>
      </x:c>
      <x:c r="L369" s="16" t="n">
        <x:v>620.62</x:v>
      </x:c>
      <x:c r="M369" s="16" t="n">
        <x:v>558.18</x:v>
      </x:c>
      <x:c r="N369" s="16" t="n">
        <x:v>0.13478412696958642</x:v>
      </x:c>
      <x:c r="O369" s="16" t="n">
        <x:v>0.521875</x:v>
      </x:c>
    </x:row>
    <x:row r="370">
      <x:c r="A370" s="16" t="str">
        <x:v>Pacific Asia</x:v>
      </x:c>
      <x:c r="B370" s="16" t="str">
        <x:v>Home Office</x:v>
      </x:c>
      <x:c r="C370" s="16" t="str">
        <x:v>2015-12</x:v>
      </x:c>
      <x:c r="D370" s="16" t="n">
        <x:v>952</x:v>
      </x:c>
      <x:c r="E370" s="16" t="n">
        <x:v>318</x:v>
      </x:c>
      <x:c r="F370" s="16" t="n">
        <x:v>2134</x:v>
      </x:c>
      <x:c r="G370" s="16" t="n">
        <x:v>186379.26</x:v>
      </x:c>
      <x:c r="H370" s="16" t="n">
        <x:v>167728.04</x:v>
      </x:c>
      <x:c r="I370" s="16" t="n">
        <x:v>18651.42</x:v>
      </x:c>
      <x:c r="J370" s="16" t="n">
        <x:v>19358.02</x:v>
      </x:c>
      <x:c r="K370" s="16" t="n">
        <x:v>503</x:v>
      </x:c>
      <x:c r="L370" s="16" t="n">
        <x:v>586.1</x:v>
      </x:c>
      <x:c r="M370" s="16" t="n">
        <x:v>527.45</x:v>
      </x:c>
      <x:c r="N370" s="16" t="n">
        <x:v>0.11541314141630701</x:v>
      </x:c>
      <x:c r="O370" s="16" t="n">
        <x:v>0.5283613445378151</x:v>
      </x:c>
    </x:row>
    <x:row r="371">
      <x:c r="A371" s="16" t="str">
        <x:v>Pacific Asia</x:v>
      </x:c>
      <x:c r="B371" s="16" t="str">
        <x:v>Home Office</x:v>
      </x:c>
      <x:c r="C371" s="16" t="str">
        <x:v>2016-01</x:v>
      </x:c>
      <x:c r="D371" s="16" t="n">
        <x:v>947</x:v>
      </x:c>
      <x:c r="E371" s="16" t="n">
        <x:v>312</x:v>
      </x:c>
      <x:c r="F371" s="16" t="n">
        <x:v>2077</x:v>
      </x:c>
      <x:c r="G371" s="16" t="n">
        <x:v>188668.25</x:v>
      </x:c>
      <x:c r="H371" s="16" t="n">
        <x:v>169679.56</x:v>
      </x:c>
      <x:c r="I371" s="16" t="n">
        <x:v>18988.95</x:v>
      </x:c>
      <x:c r="J371" s="16" t="n">
        <x:v>22096.59</x:v>
      </x:c>
      <x:c r="K371" s="16" t="n">
        <x:v>527</x:v>
      </x:c>
      <x:c r="L371" s="16" t="n">
        <x:v>604.71</x:v>
      </x:c>
      <x:c r="M371" s="16" t="n">
        <x:v>543.84</x:v>
      </x:c>
      <x:c r="N371" s="16" t="n">
        <x:v>0.1302254084110072</x:v>
      </x:c>
      <x:c r="O371" s="16" t="n">
        <x:v>0.5564941921858501</x:v>
      </x:c>
    </x:row>
    <x:row r="372">
      <x:c r="A372" s="16" t="str">
        <x:v>Pacific Asia</x:v>
      </x:c>
      <x:c r="B372" s="16" t="str">
        <x:v>Home Office</x:v>
      </x:c>
      <x:c r="C372" s="16" t="str">
        <x:v>2016-02</x:v>
      </x:c>
      <x:c r="D372" s="16" t="n">
        <x:v>902</x:v>
      </x:c>
      <x:c r="E372" s="16" t="n">
        <x:v>291</x:v>
      </x:c>
      <x:c r="F372" s="16" t="n">
        <x:v>2006</x:v>
      </x:c>
      <x:c r="G372" s="16" t="n">
        <x:v>179591.79</x:v>
      </x:c>
      <x:c r="H372" s="16" t="n">
        <x:v>161818.3</x:v>
      </x:c>
      <x:c r="I372" s="16" t="n">
        <x:v>17773.73</x:v>
      </x:c>
      <x:c r="J372" s="16" t="n">
        <x:v>12995.85</x:v>
      </x:c>
      <x:c r="K372" s="16" t="n">
        <x:v>479</x:v>
      </x:c>
      <x:c r="L372" s="16" t="n">
        <x:v>617.15</x:v>
      </x:c>
      <x:c r="M372" s="16" t="n">
        <x:v>556.08</x:v>
      </x:c>
      <x:c r="N372" s="16" t="n">
        <x:v>0.08031137392989546</x:v>
      </x:c>
      <x:c r="O372" s="16" t="n">
        <x:v>0.5310421286031042</x:v>
      </x:c>
    </x:row>
    <x:row r="373">
      <x:c r="A373" s="16" t="str">
        <x:v>Pacific Asia</x:v>
      </x:c>
      <x:c r="B373" s="16" t="str">
        <x:v>Home Office</x:v>
      </x:c>
      <x:c r="C373" s="16" t="str">
        <x:v>2016-03</x:v>
      </x:c>
      <x:c r="D373" s="16" t="n">
        <x:v>975</x:v>
      </x:c>
      <x:c r="E373" s="16" t="n">
        <x:v>330</x:v>
      </x:c>
      <x:c r="F373" s="16" t="n">
        <x:v>2103</x:v>
      </x:c>
      <x:c r="G373" s="16" t="n">
        <x:v>188952.73</x:v>
      </x:c>
      <x:c r="H373" s="16" t="n">
        <x:v>169624.65</x:v>
      </x:c>
      <x:c r="I373" s="16" t="n">
        <x:v>19328.26</x:v>
      </x:c>
      <x:c r="J373" s="16" t="n">
        <x:v>16336.09</x:v>
      </x:c>
      <x:c r="K373" s="16" t="n">
        <x:v>564</x:v>
      </x:c>
      <x:c r="L373" s="16" t="n">
        <x:v>572.58</x:v>
      </x:c>
      <x:c r="M373" s="16" t="n">
        <x:v>514.01</x:v>
      </x:c>
      <x:c r="N373" s="16" t="n">
        <x:v>0.09630728788533978</x:v>
      </x:c>
      <x:c r="O373" s="16" t="n">
        <x:v>0.5784615384615385</x:v>
      </x:c>
    </x:row>
    <x:row r="374">
      <x:c r="A374" s="16" t="str">
        <x:v>Pacific Asia</x:v>
      </x:c>
      <x:c r="B374" s="16" t="str">
        <x:v>Home Office</x:v>
      </x:c>
      <x:c r="C374" s="16" t="str">
        <x:v>2016-04</x:v>
      </x:c>
      <x:c r="D374" s="16" t="n">
        <x:v>44</x:v>
      </x:c>
      <x:c r="E374" s="16" t="n">
        <x:v>12</x:v>
      </x:c>
      <x:c r="F374" s="16" t="n">
        <x:v>104</x:v>
      </x:c>
      <x:c r="G374" s="16" t="n">
        <x:v>8109.99</x:v>
      </x:c>
      <x:c r="H374" s="16" t="n">
        <x:v>7625.44</x:v>
      </x:c>
      <x:c r="I374" s="16" t="n">
        <x:v>484.57</x:v>
      </x:c>
      <x:c r="J374" s="16" t="n">
        <x:v>1671.89</x:v>
      </x:c>
      <x:c r="K374" s="16" t="n">
        <x:v>30</x:v>
      </x:c>
      <x:c r="L374" s="16" t="n">
        <x:v>675.83</x:v>
      </x:c>
      <x:c r="M374" s="16" t="n">
        <x:v>635.45</x:v>
      </x:c>
      <x:c r="N374" s="16" t="n">
        <x:v>0.2192516103988753</x:v>
      </x:c>
      <x:c r="O374" s="16" t="n">
        <x:v>0.6818181818181818</x:v>
      </x:c>
    </x:row>
    <x:row r="375">
      <x:c r="A375" s="16" t="str">
        <x:v>Pacific Asia</x:v>
      </x:c>
      <x:c r="B375" s="16" t="str">
        <x:v>Home Office</x:v>
      </x:c>
      <x:c r="C375" s="16" t="str">
        <x:v>2016-08</x:v>
      </x:c>
      <x:c r="D375" s="16" t="n">
        <x:v>82</x:v>
      </x:c>
      <x:c r="E375" s="16" t="n">
        <x:v>29</x:v>
      </x:c>
      <x:c r="F375" s="16" t="n">
        <x:v>159</x:v>
      </x:c>
      <x:c r="G375" s="16" t="n">
        <x:v>15355.22</x:v>
      </x:c>
      <x:c r="H375" s="16" t="n">
        <x:v>14087.68</x:v>
      </x:c>
      <x:c r="I375" s="16" t="n">
        <x:v>1267.54</x:v>
      </x:c>
      <x:c r="J375" s="16" t="n">
        <x:v>-1089.26</x:v>
      </x:c>
      <x:c r="K375" s="16" t="n">
        <x:v>55</x:v>
      </x:c>
      <x:c r="L375" s="16" t="n">
        <x:v>529.49</x:v>
      </x:c>
      <x:c r="M375" s="16" t="n">
        <x:v>485.78</x:v>
      </x:c>
      <x:c r="N375" s="16" t="n">
        <x:v>-0.07732004134108668</x:v>
      </x:c>
      <x:c r="O375" s="16" t="n">
        <x:v>0.6707317073170732</x:v>
      </x:c>
    </x:row>
    <x:row r="376">
      <x:c r="A376" s="16" t="str">
        <x:v>Pacific Asia</x:v>
      </x:c>
      <x:c r="B376" s="16" t="str">
        <x:v>Home Office</x:v>
      </x:c>
      <x:c r="C376" s="16" t="str">
        <x:v>2016-09</x:v>
      </x:c>
      <x:c r="D376" s="16" t="n">
        <x:v>230</x:v>
      </x:c>
      <x:c r="E376" s="16" t="n">
        <x:v>82</x:v>
      </x:c>
      <x:c r="F376" s="16" t="n">
        <x:v>507</x:v>
      </x:c>
      <x:c r="G376" s="16" t="n">
        <x:v>44959.64</x:v>
      </x:c>
      <x:c r="H376" s="16" t="n">
        <x:v>40563.41</x:v>
      </x:c>
      <x:c r="I376" s="16" t="n">
        <x:v>4396.29</x:v>
      </x:c>
      <x:c r="J376" s="16" t="n">
        <x:v>3944.62</x:v>
      </x:c>
      <x:c r="K376" s="16" t="n">
        <x:v>102</x:v>
      </x:c>
      <x:c r="L376" s="16" t="n">
        <x:v>548.29</x:v>
      </x:c>
      <x:c r="M376" s="16" t="n">
        <x:v>494.68</x:v>
      </x:c>
      <x:c r="N376" s="16" t="n">
        <x:v>0.09724576903174559</x:v>
      </x:c>
      <x:c r="O376" s="16" t="n">
        <x:v>0.4434782608695652</x:v>
      </x:c>
    </x:row>
    <x:row r="377">
      <x:c r="A377" s="16" t="str">
        <x:v>Pacific Asia</x:v>
      </x:c>
      <x:c r="B377" s="16" t="str">
        <x:v>Home Office</x:v>
      </x:c>
      <x:c r="C377" s="16" t="str">
        <x:v>2016-10</x:v>
      </x:c>
      <x:c r="D377" s="16" t="n">
        <x:v>311</x:v>
      </x:c>
      <x:c r="E377" s="16" t="n">
        <x:v>108</x:v>
      </x:c>
      <x:c r="F377" s="16" t="n">
        <x:v>642</x:v>
      </x:c>
      <x:c r="G377" s="16" t="n">
        <x:v>62645.82</x:v>
      </x:c>
      <x:c r="H377" s="16" t="n">
        <x:v>55935.97</x:v>
      </x:c>
      <x:c r="I377" s="16" t="n">
        <x:v>6709.94</x:v>
      </x:c>
      <x:c r="J377" s="16" t="n">
        <x:v>6881.79</x:v>
      </x:c>
      <x:c r="K377" s="16" t="n">
        <x:v>205</x:v>
      </x:c>
      <x:c r="L377" s="16" t="n">
        <x:v>580.05</x:v>
      </x:c>
      <x:c r="M377" s="16" t="n">
        <x:v>517.93</x:v>
      </x:c>
      <x:c r="N377" s="16" t="n">
        <x:v>0.12302977851282457</x:v>
      </x:c>
      <x:c r="O377" s="16" t="n">
        <x:v>0.6591639871382636</x:v>
      </x:c>
    </x:row>
    <x:row r="378">
      <x:c r="A378" s="16" t="str">
        <x:v>Pacific Asia</x:v>
      </x:c>
      <x:c r="B378" s="16" t="str">
        <x:v>Home Office</x:v>
      </x:c>
      <x:c r="C378" s="16" t="str">
        <x:v>2016-11</x:v>
      </x:c>
      <x:c r="D378" s="16" t="n">
        <x:v>279</x:v>
      </x:c>
      <x:c r="E378" s="16" t="n">
        <x:v>93</x:v>
      </x:c>
      <x:c r="F378" s="16" t="n">
        <x:v>580</x:v>
      </x:c>
      <x:c r="G378" s="16" t="n">
        <x:v>55263.85</x:v>
      </x:c>
      <x:c r="H378" s="16" t="n">
        <x:v>49846.33</x:v>
      </x:c>
      <x:c r="I378" s="16" t="n">
        <x:v>5417.6</x:v>
      </x:c>
      <x:c r="J378" s="16" t="n">
        <x:v>7027.06</x:v>
      </x:c>
      <x:c r="K378" s="16" t="n">
        <x:v>133</x:v>
      </x:c>
      <x:c r="L378" s="16" t="n">
        <x:v>594.23</x:v>
      </x:c>
      <x:c r="M378" s="16" t="n">
        <x:v>535.98</x:v>
      </x:c>
      <x:c r="N378" s="16" t="n">
        <x:v>0.14097447093898385</x:v>
      </x:c>
      <x:c r="O378" s="16" t="n">
        <x:v>0.4767025089605735</x:v>
      </x:c>
    </x:row>
    <x:row r="379">
      <x:c r="A379" s="16" t="str">
        <x:v>Pacific Asia</x:v>
      </x:c>
      <x:c r="B379" s="16" t="str">
        <x:v>Home Office</x:v>
      </x:c>
      <x:c r="C379" s="16" t="str">
        <x:v>2016-12</x:v>
      </x:c>
      <x:c r="D379" s="16" t="n">
        <x:v>338</x:v>
      </x:c>
      <x:c r="E379" s="16" t="n">
        <x:v>113</x:v>
      </x:c>
      <x:c r="F379" s="16" t="n">
        <x:v>801</x:v>
      </x:c>
      <x:c r="G379" s="16" t="n">
        <x:v>64629.76</x:v>
      </x:c>
      <x:c r="H379" s="16" t="n">
        <x:v>58365.87</x:v>
      </x:c>
      <x:c r="I379" s="16" t="n">
        <x:v>6263.99</x:v>
      </x:c>
      <x:c r="J379" s="16" t="n">
        <x:v>5431.43</x:v>
      </x:c>
      <x:c r="K379" s="16" t="n">
        <x:v>192</x:v>
      </x:c>
      <x:c r="L379" s="16" t="n">
        <x:v>571.94</x:v>
      </x:c>
      <x:c r="M379" s="16" t="n">
        <x:v>516.51</x:v>
      </x:c>
      <x:c r="N379" s="16" t="n">
        <x:v>0.09305832329750247</x:v>
      </x:c>
      <x:c r="O379" s="16" t="n">
        <x:v>0.5680473372781065</x:v>
      </x:c>
    </x:row>
    <x:row r="380">
      <x:c r="A380" s="16" t="str">
        <x:v>Pacific Asia</x:v>
      </x:c>
      <x:c r="B380" s="16" t="str">
        <x:v>Home Office</x:v>
      </x:c>
      <x:c r="C380" s="16" t="str">
        <x:v>2017-01</x:v>
      </x:c>
      <x:c r="D380" s="16" t="n">
        <x:v>138</x:v>
      </x:c>
      <x:c r="E380" s="16" t="n">
        <x:v>52</x:v>
      </x:c>
      <x:c r="F380" s="16" t="n">
        <x:v>303</x:v>
      </x:c>
      <x:c r="G380" s="16" t="n">
        <x:v>27222.04</x:v>
      </x:c>
      <x:c r="H380" s="16" t="n">
        <x:v>24216.76</x:v>
      </x:c>
      <x:c r="I380" s="16" t="n">
        <x:v>3005.31</x:v>
      </x:c>
      <x:c r="J380" s="16" t="n">
        <x:v>4978.74</x:v>
      </x:c>
      <x:c r="K380" s="16" t="n">
        <x:v>73</x:v>
      </x:c>
      <x:c r="L380" s="16" t="n">
        <x:v>523.5</x:v>
      </x:c>
      <x:c r="M380" s="16" t="n">
        <x:v>465.71</x:v>
      </x:c>
      <x:c r="N380" s="16" t="n">
        <x:v>0.20559067356657124</x:v>
      </x:c>
      <x:c r="O380" s="16" t="n">
        <x:v>0.5289855072463768</x:v>
      </x:c>
    </x:row>
    <x:row r="381">
      <x:c r="A381" s="16" t="str">
        <x:v>Pacific Asia</x:v>
      </x:c>
      <x:c r="B381" s="16" t="str">
        <x:v>Home Office</x:v>
      </x:c>
      <x:c r="C381" s="16" t="str">
        <x:v>2017-11</x:v>
      </x:c>
      <x:c r="D381" s="16" t="n">
        <x:v>240</x:v>
      </x:c>
      <x:c r="E381" s="16" t="n">
        <x:v>240</x:v>
      </x:c>
      <x:c r="F381" s="16" t="n">
        <x:v>240</x:v>
      </x:c>
      <x:c r="G381" s="16" t="n">
        <x:v>69108.16</x:v>
      </x:c>
      <x:c r="H381" s="16" t="n">
        <x:v>62131.47</x:v>
      </x:c>
      <x:c r="I381" s="16" t="n">
        <x:v>6976.79</x:v>
      </x:c>
      <x:c r="J381" s="16" t="n">
        <x:v>6720.77</x:v>
      </x:c>
      <x:c r="K381" s="16" t="n">
        <x:v>136</x:v>
      </x:c>
      <x:c r="L381" s="16" t="n">
        <x:v>287.95</x:v>
      </x:c>
      <x:c r="M381" s="16" t="n">
        <x:v>258.88</x:v>
      </x:c>
      <x:c r="N381" s="16" t="n">
        <x:v>0.1081701430852996</x:v>
      </x:c>
      <x:c r="O381" s="16" t="n">
        <x:v>0.5666666666666667</x:v>
      </x:c>
    </x:row>
    <x:row r="382">
      <x:c r="A382" s="16" t="str">
        <x:v>Pacific Asia</x:v>
      </x:c>
      <x:c r="B382" s="16" t="str">
        <x:v>Home Office</x:v>
      </x:c>
      <x:c r="C382" s="16" t="str">
        <x:v>2017-12</x:v>
      </x:c>
      <x:c r="D382" s="16" t="n">
        <x:v>367</x:v>
      </x:c>
      <x:c r="E382" s="16" t="n">
        <x:v>367</x:v>
      </x:c>
      <x:c r="F382" s="16" t="n">
        <x:v>367</x:v>
      </x:c>
      <x:c r="G382" s="16" t="n">
        <x:v>72829.7</x:v>
      </x:c>
      <x:c r="H382" s="16" t="n">
        <x:v>65504.84</x:v>
      </x:c>
      <x:c r="I382" s="16" t="n">
        <x:v>7325.08</x:v>
      </x:c>
      <x:c r="J382" s="16" t="n">
        <x:v>8293.79</x:v>
      </x:c>
      <x:c r="K382" s="16" t="n">
        <x:v>205</x:v>
      </x:c>
      <x:c r="L382" s="16" t="n">
        <x:v>198.45</x:v>
      </x:c>
      <x:c r="M382" s="16" t="n">
        <x:v>178.49</x:v>
      </x:c>
      <x:c r="N382" s="16" t="n">
        <x:v>0.12661339223178011</x:v>
      </x:c>
      <x:c r="O382" s="16" t="n">
        <x:v>0.55858310626703</x:v>
      </x:c>
    </x:row>
    <x:row r="383">
      <x:c r="A383" s="16" t="str">
        <x:v>Pacific Asia</x:v>
      </x:c>
      <x:c r="B383" s="16" t="str">
        <x:v>Home Office</x:v>
      </x:c>
      <x:c r="C383" s="16" t="str">
        <x:v>2018-01</x:v>
      </x:c>
      <x:c r="D383" s="16" t="n">
        <x:v>435</x:v>
      </x:c>
      <x:c r="E383" s="16" t="n">
        <x:v>435</x:v>
      </x:c>
      <x:c r="F383" s="16" t="n">
        <x:v>435</x:v>
      </x:c>
      <x:c r="G383" s="16" t="n">
        <x:v>64089.68</x:v>
      </x:c>
      <x:c r="H383" s="16" t="n">
        <x:v>57409.67</x:v>
      </x:c>
      <x:c r="I383" s="16" t="n">
        <x:v>6680.4</x:v>
      </x:c>
      <x:c r="J383" s="16" t="n">
        <x:v>9983.24</x:v>
      </x:c>
      <x:c r="K383" s="16" t="n">
        <x:v>258</x:v>
      </x:c>
      <x:c r="L383" s="16" t="n">
        <x:v>147.33</x:v>
      </x:c>
      <x:c r="M383" s="16" t="n">
        <x:v>131.98</x:v>
      </x:c>
      <x:c r="N383" s="16" t="n">
        <x:v>0.1738947463031925</x:v>
      </x:c>
      <x:c r="O383" s="16" t="n">
        <x:v>0.593103448275862</x:v>
      </x:c>
    </x:row>
    <x:row r="384">
      <x:c r="A384" s="16" t="str">
        <x:v>USCA</x:v>
      </x:c>
      <x:c r="B384" s="16" t="str">
        <x:v>All</x:v>
      </x:c>
      <x:c r="C384" s="16" t="str">
        <x:v>2016-04</x:v>
      </x:c>
      <x:c r="D384" s="16" t="n">
        <x:v>4938</x:v>
      </x:c>
      <x:c r="E384" s="16" t="n">
        <x:v>1656</x:v>
      </x:c>
      <x:c r="F384" s="16" t="n">
        <x:v>10820</x:v>
      </x:c>
      <x:c r="G384" s="16" t="n">
        <x:v>969596.49</x:v>
      </x:c>
      <x:c r="H384" s="16" t="n">
        <x:v>871756.28</x:v>
      </x:c>
      <x:c r="I384" s="16" t="n">
        <x:v>97841.34</x:v>
      </x:c>
      <x:c r="J384" s="16" t="n">
        <x:v>109011.83</x:v>
      </x:c>
      <x:c r="K384" s="16" t="n">
        <x:v>2726</x:v>
      </x:c>
      <x:c r="L384" s="16" t="n">
        <x:v>585.51</x:v>
      </x:c>
      <x:c r="M384" s="16" t="n">
        <x:v>526.42</x:v>
      </x:c>
      <x:c r="N384" s="16" t="n">
        <x:v>0.1250485170006461</x:v>
      </x:c>
      <x:c r="O384" s="16" t="n">
        <x:v>0.5520453624949372</x:v>
      </x:c>
    </x:row>
    <x:row r="385">
      <x:c r="A385" s="16" t="str">
        <x:v>USCA</x:v>
      </x:c>
      <x:c r="B385" s="16" t="str">
        <x:v>All</x:v>
      </x:c>
      <x:c r="C385" s="16" t="str">
        <x:v>2016-05</x:v>
      </x:c>
      <x:c r="D385" s="16" t="n">
        <x:v>5302</x:v>
      </x:c>
      <x:c r="E385" s="16" t="n">
        <x:v>1763</x:v>
      </x:c>
      <x:c r="F385" s="16" t="n">
        <x:v>11603</x:v>
      </x:c>
      <x:c r="G385" s="16" t="n">
        <x:v>1029400.18</x:v>
      </x:c>
      <x:c r="H385" s="16" t="n">
        <x:v>924978.21</x:v>
      </x:c>
      <x:c r="I385" s="16" t="n">
        <x:v>104423.22</x:v>
      </x:c>
      <x:c r="J385" s="16" t="n">
        <x:v>110716.12</x:v>
      </x:c>
      <x:c r="K385" s="16" t="n">
        <x:v>2951</x:v>
      </x:c>
      <x:c r="L385" s="16" t="n">
        <x:v>583.89</x:v>
      </x:c>
      <x:c r="M385" s="16" t="n">
        <x:v>524.66</x:v>
      </x:c>
      <x:c r="N385" s="16" t="n">
        <x:v>0.11969592235043029</x:v>
      </x:c>
      <x:c r="O385" s="16" t="n">
        <x:v>0.5565824217276499</x:v>
      </x:c>
    </x:row>
    <x:row r="386">
      <x:c r="A386" s="16" t="str">
        <x:v>USCA</x:v>
      </x:c>
      <x:c r="B386" s="16" t="str">
        <x:v>All</x:v>
      </x:c>
      <x:c r="C386" s="16" t="str">
        <x:v>2016-06</x:v>
      </x:c>
      <x:c r="D386" s="16" t="n">
        <x:v>5054</x:v>
      </x:c>
      <x:c r="E386" s="16" t="n">
        <x:v>1690</x:v>
      </x:c>
      <x:c r="F386" s="16" t="n">
        <x:v>11008</x:v>
      </x:c>
      <x:c r="G386" s="16" t="n">
        <x:v>1003059.53</x:v>
      </x:c>
      <x:c r="H386" s="16" t="n">
        <x:v>901448</x:v>
      </x:c>
      <x:c r="I386" s="16" t="n">
        <x:v>101612.76</x:v>
      </x:c>
      <x:c r="J386" s="16" t="n">
        <x:v>104196.07</x:v>
      </x:c>
      <x:c r="K386" s="16" t="n">
        <x:v>2873</x:v>
      </x:c>
      <x:c r="L386" s="16" t="n">
        <x:v>593.53</x:v>
      </x:c>
      <x:c r="M386" s="16" t="n">
        <x:v>533.4</x:v>
      </x:c>
      <x:c r="N386" s="16" t="n">
        <x:v>0.11558744375715516</x:v>
      </x:c>
      <x:c r="O386" s="16" t="n">
        <x:v>0.5684606252473289</x:v>
      </x:c>
    </x:row>
    <x:row r="387">
      <x:c r="A387" s="16" t="str">
        <x:v>USCA</x:v>
      </x:c>
      <x:c r="B387" s="16" t="str">
        <x:v>All</x:v>
      </x:c>
      <x:c r="C387" s="16" t="str">
        <x:v>2016-07</x:v>
      </x:c>
      <x:c r="D387" s="16" t="n">
        <x:v>5305</x:v>
      </x:c>
      <x:c r="E387" s="16" t="n">
        <x:v>1758</x:v>
      </x:c>
      <x:c r="F387" s="16" t="n">
        <x:v>11652</x:v>
      </x:c>
      <x:c r="G387" s="16" t="n">
        <x:v>1045715.6</x:v>
      </x:c>
      <x:c r="H387" s="16" t="n">
        <x:v>939216.39</x:v>
      </x:c>
      <x:c r="I387" s="16" t="n">
        <x:v>106500.52</x:v>
      </x:c>
      <x:c r="J387" s="16" t="n">
        <x:v>119941.72</x:v>
      </x:c>
      <x:c r="K387" s="16" t="n">
        <x:v>2755</x:v>
      </x:c>
      <x:c r="L387" s="16" t="n">
        <x:v>594.83</x:v>
      </x:c>
      <x:c r="M387" s="16" t="n">
        <x:v>534.25</x:v>
      </x:c>
      <x:c r="N387" s="16" t="n">
        <x:v>0.1277040320814674</x:v>
      </x:c>
      <x:c r="O387" s="16" t="n">
        <x:v>0.5193213949104618</x:v>
      </x:c>
    </x:row>
    <x:row r="388">
      <x:c r="A388" s="16" t="str">
        <x:v>USCA</x:v>
      </x:c>
      <x:c r="B388" s="16" t="str">
        <x:v>All</x:v>
      </x:c>
      <x:c r="C388" s="16" t="str">
        <x:v>2016-08</x:v>
      </x:c>
      <x:c r="D388" s="16" t="n">
        <x:v>4288</x:v>
      </x:c>
      <x:c r="E388" s="16" t="n">
        <x:v>1417</x:v>
      </x:c>
      <x:c r="F388" s="16" t="n">
        <x:v>9461</x:v>
      </x:c>
      <x:c r="G388" s="16" t="n">
        <x:v>842099.74</x:v>
      </x:c>
      <x:c r="H388" s="16" t="n">
        <x:v>757246.09</x:v>
      </x:c>
      <x:c r="I388" s="16" t="n">
        <x:v>84854.62</x:v>
      </x:c>
      <x:c r="J388" s="16" t="n">
        <x:v>98509.66</x:v>
      </x:c>
      <x:c r="K388" s="16" t="n">
        <x:v>2378</x:v>
      </x:c>
      <x:c r="L388" s="16" t="n">
        <x:v>594.28</x:v>
      </x:c>
      <x:c r="M388" s="16" t="n">
        <x:v>534.4</x:v>
      </x:c>
      <x:c r="N388" s="16" t="n">
        <x:v>0.13008936104245847</x:v>
      </x:c>
      <x:c r="O388" s="16" t="n">
        <x:v>0.554570895522388</x:v>
      </x:c>
    </x:row>
    <x:row r="389">
      <x:c r="A389" s="16" t="str">
        <x:v>USCA</x:v>
      </x:c>
      <x:c r="B389" s="16" t="str">
        <x:v>All</x:v>
      </x:c>
      <x:c r="C389" s="16" t="str">
        <x:v>2016-09</x:v>
      </x:c>
      <x:c r="D389" s="16" t="n">
        <x:v>193</x:v>
      </x:c>
      <x:c r="E389" s="16" t="n">
        <x:v>58</x:v>
      </x:c>
      <x:c r="F389" s="16" t="n">
        <x:v>444</x:v>
      </x:c>
      <x:c r="G389" s="16" t="n">
        <x:v>33216.65</x:v>
      </x:c>
      <x:c r="H389" s="16" t="n">
        <x:v>29695.62</x:v>
      </x:c>
      <x:c r="I389" s="16" t="n">
        <x:v>3521.07</x:v>
      </x:c>
      <x:c r="J389" s="16" t="n">
        <x:v>1737.1</x:v>
      </x:c>
      <x:c r="K389" s="16" t="n">
        <x:v>116</x:v>
      </x:c>
      <x:c r="L389" s="16" t="n">
        <x:v>572.7</x:v>
      </x:c>
      <x:c r="M389" s="16" t="n">
        <x:v>511.99</x:v>
      </x:c>
      <x:c r="N389" s="16" t="n">
        <x:v>0.05849684229526105</x:v>
      </x:c>
      <x:c r="O389" s="16" t="n">
        <x:v>0.6010362694300518</x:v>
      </x:c>
    </x:row>
    <x:row r="390">
      <x:c r="A390" s="16" t="str">
        <x:v>USCA</x:v>
      </x:c>
      <x:c r="B390" s="16" t="str">
        <x:v>All</x:v>
      </x:c>
      <x:c r="C390" s="16" t="str">
        <x:v>2016-10</x:v>
      </x:c>
      <x:c r="D390" s="16" t="n">
        <x:v>173</x:v>
      </x:c>
      <x:c r="E390" s="16" t="n">
        <x:v>58</x:v>
      </x:c>
      <x:c r="F390" s="16" t="n">
        <x:v>379</x:v>
      </x:c>
      <x:c r="G390" s="16" t="n">
        <x:v>31824.83</x:v>
      </x:c>
      <x:c r="H390" s="16" t="n">
        <x:v>28720.44</x:v>
      </x:c>
      <x:c r="I390" s="16" t="n">
        <x:v>3104.42</x:v>
      </x:c>
      <x:c r="J390" s="16" t="n">
        <x:v>4002.22</x:v>
      </x:c>
      <x:c r="K390" s="16" t="n">
        <x:v>63</x:v>
      </x:c>
      <x:c r="L390" s="16" t="n">
        <x:v>548.7</x:v>
      </x:c>
      <x:c r="M390" s="16" t="n">
        <x:v>495.18</x:v>
      </x:c>
      <x:c r="N390" s="16" t="n">
        <x:v>0.13935092916403788</x:v>
      </x:c>
      <x:c r="O390" s="16" t="n">
        <x:v>0.36416184971098264</x:v>
      </x:c>
    </x:row>
    <x:row r="391">
      <x:c r="A391" s="16" t="str">
        <x:v>USCA</x:v>
      </x:c>
      <x:c r="B391" s="16" t="str">
        <x:v>All</x:v>
      </x:c>
      <x:c r="C391" s="16" t="str">
        <x:v>2016-11</x:v>
      </x:c>
      <x:c r="D391" s="16" t="n">
        <x:v>219</x:v>
      </x:c>
      <x:c r="E391" s="16" t="n">
        <x:v>68</x:v>
      </x:c>
      <x:c r="F391" s="16" t="n">
        <x:v>509</x:v>
      </x:c>
      <x:c r="G391" s="16" t="n">
        <x:v>47801.35</x:v>
      </x:c>
      <x:c r="H391" s="16" t="n">
        <x:v>43343.07</x:v>
      </x:c>
      <x:c r="I391" s="16" t="n">
        <x:v>4458.31</x:v>
      </x:c>
      <x:c r="J391" s="16" t="n">
        <x:v>6924.61</x:v>
      </x:c>
      <x:c r="K391" s="16" t="n">
        <x:v>126</x:v>
      </x:c>
      <x:c r="L391" s="16" t="n">
        <x:v>702.96</x:v>
      </x:c>
      <x:c r="M391" s="16" t="n">
        <x:v>637.4</x:v>
      </x:c>
      <x:c r="N391" s="16" t="n">
        <x:v>0.15976279483663708</x:v>
      </x:c>
      <x:c r="O391" s="16" t="n">
        <x:v>0.5753424657534246</x:v>
      </x:c>
    </x:row>
    <x:row r="392">
      <x:c r="A392" s="16" t="str">
        <x:v>USCA</x:v>
      </x:c>
      <x:c r="B392" s="16" t="str">
        <x:v>All</x:v>
      </x:c>
      <x:c r="C392" s="16" t="str">
        <x:v>2016-12</x:v>
      </x:c>
      <x:c r="D392" s="16" t="n">
        <x:v>209</x:v>
      </x:c>
      <x:c r="E392" s="16" t="n">
        <x:v>70</x:v>
      </x:c>
      <x:c r="F392" s="16" t="n">
        <x:v>474</x:v>
      </x:c>
      <x:c r="G392" s="16" t="n">
        <x:v>40751.05</x:v>
      </x:c>
      <x:c r="H392" s="16" t="n">
        <x:v>36581.37</x:v>
      </x:c>
      <x:c r="I392" s="16" t="n">
        <x:v>4169.71</x:v>
      </x:c>
      <x:c r="J392" s="16" t="n">
        <x:v>5087.89</x:v>
      </x:c>
      <x:c r="K392" s="16" t="n">
        <x:v>103</x:v>
      </x:c>
      <x:c r="L392" s="16" t="n">
        <x:v>582.16</x:v>
      </x:c>
      <x:c r="M392" s="16" t="n">
        <x:v>522.59</x:v>
      </x:c>
      <x:c r="N392" s="16" t="n">
        <x:v>0.1390841841079216</x:v>
      </x:c>
      <x:c r="O392" s="16" t="n">
        <x:v>0.49282296650717705</x:v>
      </x:c>
    </x:row>
    <x:row r="393">
      <x:c r="A393" s="16" t="str">
        <x:v>USCA</x:v>
      </x:c>
      <x:c r="B393" s="16" t="str">
        <x:v>All</x:v>
      </x:c>
      <x:c r="C393" s="16" t="str">
        <x:v>2017-01</x:v>
      </x:c>
      <x:c r="D393" s="16" t="n">
        <x:v>118</x:v>
      </x:c>
      <x:c r="E393" s="16" t="n">
        <x:v>41</x:v>
      </x:c>
      <x:c r="F393" s="16" t="n">
        <x:v>266</x:v>
      </x:c>
      <x:c r="G393" s="16" t="n">
        <x:v>23063.19</x:v>
      </x:c>
      <x:c r="H393" s="16" t="n">
        <x:v>20514.4</x:v>
      </x:c>
      <x:c r="I393" s="16" t="n">
        <x:v>2548.85</x:v>
      </x:c>
      <x:c r="J393" s="16" t="n">
        <x:v>4186.56</x:v>
      </x:c>
      <x:c r="K393" s="16" t="n">
        <x:v>47</x:v>
      </x:c>
      <x:c r="L393" s="16" t="n">
        <x:v>562.52</x:v>
      </x:c>
      <x:c r="M393" s="16" t="n">
        <x:v>500.35</x:v>
      </x:c>
      <x:c r="N393" s="16" t="n">
        <x:v>0.2040790859103849</x:v>
      </x:c>
      <x:c r="O393" s="16" t="n">
        <x:v>0.3983050847457627</x:v>
      </x:c>
    </x:row>
    <x:row r="394">
      <x:c r="A394" s="16" t="str">
        <x:v>USCA</x:v>
      </x:c>
      <x:c r="B394" s="16" t="str">
        <x:v>Consumer</x:v>
      </x:c>
      <x:c r="C394" s="16" t="str">
        <x:v>2016-04</x:v>
      </x:c>
      <x:c r="D394" s="16" t="n">
        <x:v>2544</x:v>
      </x:c>
      <x:c r="E394" s="16" t="n">
        <x:v>863</x:v>
      </x:c>
      <x:c r="F394" s="16" t="n">
        <x:v>5550</x:v>
      </x:c>
      <x:c r="G394" s="16" t="n">
        <x:v>502236.03</x:v>
      </x:c>
      <x:c r="H394" s="16" t="n">
        <x:v>452231.07</x:v>
      </x:c>
      <x:c r="I394" s="16" t="n">
        <x:v>50005.56</x:v>
      </x:c>
      <x:c r="J394" s="16" t="n">
        <x:v>54588.35</x:v>
      </x:c>
      <x:c r="K394" s="16" t="n">
        <x:v>1380</x:v>
      </x:c>
      <x:c r="L394" s="16" t="n">
        <x:v>581.97</x:v>
      </x:c>
      <x:c r="M394" s="16" t="n">
        <x:v>524.02</x:v>
      </x:c>
      <x:c r="N394" s="16" t="n">
        <x:v>0.12070897738185038</x:v>
      </x:c>
      <x:c r="O394" s="16" t="n">
        <x:v>0.5424528301886793</x:v>
      </x:c>
    </x:row>
    <x:row r="395">
      <x:c r="A395" s="16" t="str">
        <x:v>USCA</x:v>
      </x:c>
      <x:c r="B395" s="16" t="str">
        <x:v>Consumer</x:v>
      </x:c>
      <x:c r="C395" s="16" t="str">
        <x:v>2016-05</x:v>
      </x:c>
      <x:c r="D395" s="16" t="n">
        <x:v>2805</x:v>
      </x:c>
      <x:c r="E395" s="16" t="n">
        <x:v>942</x:v>
      </x:c>
      <x:c r="F395" s="16" t="n">
        <x:v>6088</x:v>
      </x:c>
      <x:c r="G395" s="16" t="n">
        <x:v>539841.15</x:v>
      </x:c>
      <x:c r="H395" s="16" t="n">
        <x:v>484857.27</x:v>
      </x:c>
      <x:c r="I395" s="16" t="n">
        <x:v>54984.51</x:v>
      </x:c>
      <x:c r="J395" s="16" t="n">
        <x:v>63626.83</x:v>
      </x:c>
      <x:c r="K395" s="16" t="n">
        <x:v>1558</x:v>
      </x:c>
      <x:c r="L395" s="16" t="n">
        <x:v>573.08</x:v>
      </x:c>
      <x:c r="M395" s="16" t="n">
        <x:v>514.71</x:v>
      </x:c>
      <x:c r="N395" s="16" t="n">
        <x:v>0.13122795910639848</x:v>
      </x:c>
      <x:c r="O395" s="16" t="n">
        <x:v>0.5554367201426025</x:v>
      </x:c>
    </x:row>
    <x:row r="396">
      <x:c r="A396" s="16" t="str">
        <x:v>USCA</x:v>
      </x:c>
      <x:c r="B396" s="16" t="str">
        <x:v>Consumer</x:v>
      </x:c>
      <x:c r="C396" s="16" t="str">
        <x:v>2016-06</x:v>
      </x:c>
      <x:c r="D396" s="16" t="n">
        <x:v>2645</x:v>
      </x:c>
      <x:c r="E396" s="16" t="n">
        <x:v>887</x:v>
      </x:c>
      <x:c r="F396" s="16" t="n">
        <x:v>5645</x:v>
      </x:c>
      <x:c r="G396" s="16" t="n">
        <x:v>521058.74</x:v>
      </x:c>
      <x:c r="H396" s="16" t="n">
        <x:v>467881.96</x:v>
      </x:c>
      <x:c r="I396" s="16" t="n">
        <x:v>53177.42</x:v>
      </x:c>
      <x:c r="J396" s="16" t="n">
        <x:v>57407.72</x:v>
      </x:c>
      <x:c r="K396" s="16" t="n">
        <x:v>1501</x:v>
      </x:c>
      <x:c r="L396" s="16" t="n">
        <x:v>587.44</x:v>
      </x:c>
      <x:c r="M396" s="16" t="n">
        <x:v>527.49</x:v>
      </x:c>
      <x:c r="N396" s="16" t="n">
        <x:v>0.12269701528992483</x:v>
      </x:c>
      <x:c r="O396" s="16" t="n">
        <x:v>0.5674858223062382</x:v>
      </x:c>
    </x:row>
    <x:row r="397">
      <x:c r="A397" s="16" t="str">
        <x:v>USCA</x:v>
      </x:c>
      <x:c r="B397" s="16" t="str">
        <x:v>Consumer</x:v>
      </x:c>
      <x:c r="C397" s="16" t="str">
        <x:v>2016-07</x:v>
      </x:c>
      <x:c r="D397" s="16" t="n">
        <x:v>2778</x:v>
      </x:c>
      <x:c r="E397" s="16" t="n">
        <x:v>917</x:v>
      </x:c>
      <x:c r="F397" s="16" t="n">
        <x:v>6098</x:v>
      </x:c>
      <x:c r="G397" s="16" t="n">
        <x:v>554767.88</x:v>
      </x:c>
      <x:c r="H397" s="16" t="n">
        <x:v>498315.89</x:v>
      </x:c>
      <x:c r="I397" s="16" t="n">
        <x:v>56452.74</x:v>
      </x:c>
      <x:c r="J397" s="16" t="n">
        <x:v>59785.22</x:v>
      </x:c>
      <x:c r="K397" s="16" t="n">
        <x:v>1393</x:v>
      </x:c>
      <x:c r="L397" s="16" t="n">
        <x:v>604.98</x:v>
      </x:c>
      <x:c r="M397" s="16" t="n">
        <x:v>543.42</x:v>
      </x:c>
      <x:c r="N397" s="16" t="n">
        <x:v>0.11997454064729904</x:v>
      </x:c>
      <x:c r="O397" s="16" t="n">
        <x:v>0.5014398848092153</x:v>
      </x:c>
    </x:row>
    <x:row r="398">
      <x:c r="A398" s="16" t="str">
        <x:v>USCA</x:v>
      </x:c>
      <x:c r="B398" s="16" t="str">
        <x:v>Consumer</x:v>
      </x:c>
      <x:c r="C398" s="16" t="str">
        <x:v>2016-08</x:v>
      </x:c>
      <x:c r="D398" s="16" t="n">
        <x:v>2284</x:v>
      </x:c>
      <x:c r="E398" s="16" t="n">
        <x:v>757</x:v>
      </x:c>
      <x:c r="F398" s="16" t="n">
        <x:v>4979</x:v>
      </x:c>
      <x:c r="G398" s="16" t="n">
        <x:v>453283.21</x:v>
      </x:c>
      <x:c r="H398" s="16" t="n">
        <x:v>407957.18</x:v>
      </x:c>
      <x:c r="I398" s="16" t="n">
        <x:v>45326.59</x:v>
      </x:c>
      <x:c r="J398" s="16" t="n">
        <x:v>56019.39</x:v>
      </x:c>
      <x:c r="K398" s="16" t="n">
        <x:v>1260</x:v>
      </x:c>
      <x:c r="L398" s="16" t="n">
        <x:v>598.79</x:v>
      </x:c>
      <x:c r="M398" s="16" t="n">
        <x:v>538.91</x:v>
      </x:c>
      <x:c r="N398" s="16" t="n">
        <x:v>0.13731683800736147</x:v>
      </x:c>
      <x:c r="O398" s="16" t="n">
        <x:v>0.5516637478108581</x:v>
      </x:c>
    </x:row>
    <x:row r="399">
      <x:c r="A399" s="16" t="str">
        <x:v>USCA</x:v>
      </x:c>
      <x:c r="B399" s="16" t="str">
        <x:v>Consumer</x:v>
      </x:c>
      <x:c r="C399" s="16" t="str">
        <x:v>2016-09</x:v>
      </x:c>
      <x:c r="D399" s="16" t="n">
        <x:v>96</x:v>
      </x:c>
      <x:c r="E399" s="16" t="n">
        <x:v>25</x:v>
      </x:c>
      <x:c r="F399" s="16" t="n">
        <x:v>219</x:v>
      </x:c>
      <x:c r="G399" s="16" t="n">
        <x:v>17509.91</x:v>
      </x:c>
      <x:c r="H399" s="16" t="n">
        <x:v>15364.63</x:v>
      </x:c>
      <x:c r="I399" s="16" t="n">
        <x:v>2145.31</x:v>
      </x:c>
      <x:c r="J399" s="16" t="n">
        <x:v>843.21</x:v>
      </x:c>
      <x:c r="K399" s="16" t="n">
        <x:v>58</x:v>
      </x:c>
      <x:c r="L399" s="16" t="n">
        <x:v>700.4</x:v>
      </x:c>
      <x:c r="M399" s="16" t="n">
        <x:v>614.59</x:v>
      </x:c>
      <x:c r="N399" s="16" t="n">
        <x:v>0.054879941788380196</x:v>
      </x:c>
      <x:c r="O399" s="16" t="n">
        <x:v>0.6041666666666666</x:v>
      </x:c>
    </x:row>
    <x:row r="400">
      <x:c r="A400" s="16" t="str">
        <x:v>USCA</x:v>
      </x:c>
      <x:c r="B400" s="16" t="str">
        <x:v>Consumer</x:v>
      </x:c>
      <x:c r="C400" s="16" t="str">
        <x:v>2016-10</x:v>
      </x:c>
      <x:c r="D400" s="16" t="n">
        <x:v>102</x:v>
      </x:c>
      <x:c r="E400" s="16" t="n">
        <x:v>37</x:v>
      </x:c>
      <x:c r="F400" s="16" t="n">
        <x:v>221</x:v>
      </x:c>
      <x:c r="G400" s="16" t="n">
        <x:v>19595.67</x:v>
      </x:c>
      <x:c r="H400" s="16" t="n">
        <x:v>17800.63</x:v>
      </x:c>
      <x:c r="I400" s="16" t="n">
        <x:v>1795.06</x:v>
      </x:c>
      <x:c r="J400" s="16" t="n">
        <x:v>2448.44</x:v>
      </x:c>
      <x:c r="K400" s="16" t="n">
        <x:v>25</x:v>
      </x:c>
      <x:c r="L400" s="16" t="n">
        <x:v>529.61</x:v>
      </x:c>
      <x:c r="M400" s="16" t="n">
        <x:v>481.1</x:v>
      </x:c>
      <x:c r="N400" s="16" t="n">
        <x:v>0.13754794071895207</x:v>
      </x:c>
      <x:c r="O400" s="16" t="n">
        <x:v>0.24509803921568626</x:v>
      </x:c>
    </x:row>
    <x:row r="401">
      <x:c r="A401" s="16" t="str">
        <x:v>USCA</x:v>
      </x:c>
      <x:c r="B401" s="16" t="str">
        <x:v>Consumer</x:v>
      </x:c>
      <x:c r="C401" s="16" t="str">
        <x:v>2016-11</x:v>
      </x:c>
      <x:c r="D401" s="16" t="n">
        <x:v>104</x:v>
      </x:c>
      <x:c r="E401" s="16" t="n">
        <x:v>32</x:v>
      </x:c>
      <x:c r="F401" s="16" t="n">
        <x:v>241</x:v>
      </x:c>
      <x:c r="G401" s="16" t="n">
        <x:v>22396.33</x:v>
      </x:c>
      <x:c r="H401" s="16" t="n">
        <x:v>20203.44</x:v>
      </x:c>
      <x:c r="I401" s="16" t="n">
        <x:v>2192.91</x:v>
      </x:c>
      <x:c r="J401" s="16" t="n">
        <x:v>4551.08</x:v>
      </x:c>
      <x:c r="K401" s="16" t="n">
        <x:v>65</x:v>
      </x:c>
      <x:c r="L401" s="16" t="n">
        <x:v>699.89</x:v>
      </x:c>
      <x:c r="M401" s="16" t="n">
        <x:v>631.36</x:v>
      </x:c>
      <x:c r="N401" s="16" t="n">
        <x:v>0.22526262854246604</x:v>
      </x:c>
      <x:c r="O401" s="16" t="n">
        <x:v>0.625</x:v>
      </x:c>
    </x:row>
    <x:row r="402">
      <x:c r="A402" s="16" t="str">
        <x:v>USCA</x:v>
      </x:c>
      <x:c r="B402" s="16" t="str">
        <x:v>Consumer</x:v>
      </x:c>
      <x:c r="C402" s="16" t="str">
        <x:v>2016-12</x:v>
      </x:c>
      <x:c r="D402" s="16" t="n">
        <x:v>86</x:v>
      </x:c>
      <x:c r="E402" s="16" t="n">
        <x:v>29</x:v>
      </x:c>
      <x:c r="F402" s="16" t="n">
        <x:v>214</x:v>
      </x:c>
      <x:c r="G402" s="16" t="n">
        <x:v>16518.96</x:v>
      </x:c>
      <x:c r="H402" s="16" t="n">
        <x:v>14909.54</x:v>
      </x:c>
      <x:c r="I402" s="16" t="n">
        <x:v>1609.44</x:v>
      </x:c>
      <x:c r="J402" s="16" t="n">
        <x:v>1415.17</x:v>
      </x:c>
      <x:c r="K402" s="16" t="n">
        <x:v>37</x:v>
      </x:c>
      <x:c r="L402" s="16" t="n">
        <x:v>569.62</x:v>
      </x:c>
      <x:c r="M402" s="16" t="n">
        <x:v>514.12</x:v>
      </x:c>
      <x:c r="N402" s="16" t="n">
        <x:v>0.0949170799367385</x:v>
      </x:c>
      <x:c r="O402" s="16" t="n">
        <x:v>0.43023255813953487</x:v>
      </x:c>
    </x:row>
    <x:row r="403">
      <x:c r="A403" s="16" t="str">
        <x:v>USCA</x:v>
      </x:c>
      <x:c r="B403" s="16" t="str">
        <x:v>Consumer</x:v>
      </x:c>
      <x:c r="C403" s="16" t="str">
        <x:v>2017-01</x:v>
      </x:c>
      <x:c r="D403" s="16" t="n">
        <x:v>63</x:v>
      </x:c>
      <x:c r="E403" s="16" t="n">
        <x:v>20</x:v>
      </x:c>
      <x:c r="F403" s="16" t="n">
        <x:v>148</x:v>
      </x:c>
      <x:c r="G403" s="16" t="n">
        <x:v>13083.28</x:v>
      </x:c>
      <x:c r="H403" s="16" t="n">
        <x:v>11701.75</x:v>
      </x:c>
      <x:c r="I403" s="16" t="n">
        <x:v>1381.57</x:v>
      </x:c>
      <x:c r="J403" s="16" t="n">
        <x:v>2226.73</x:v>
      </x:c>
      <x:c r="K403" s="16" t="n">
        <x:v>22</x:v>
      </x:c>
      <x:c r="L403" s="16" t="n">
        <x:v>654.16</x:v>
      </x:c>
      <x:c r="M403" s="16" t="n">
        <x:v>585.09</x:v>
      </x:c>
      <x:c r="N403" s="16" t="n">
        <x:v>0.1902903411882838</x:v>
      </x:c>
      <x:c r="O403" s="16" t="n">
        <x:v>0.3492063492063492</x:v>
      </x:c>
    </x:row>
    <x:row r="404">
      <x:c r="A404" s="16" t="str">
        <x:v>USCA</x:v>
      </x:c>
      <x:c r="B404" s="16" t="str">
        <x:v>Corporate</x:v>
      </x:c>
      <x:c r="C404" s="16" t="str">
        <x:v>2016-04</x:v>
      </x:c>
      <x:c r="D404" s="16" t="n">
        <x:v>1629</x:v>
      </x:c>
      <x:c r="E404" s="16" t="n">
        <x:v>538</x:v>
      </x:c>
      <x:c r="F404" s="16" t="n">
        <x:v>3588</x:v>
      </x:c>
      <x:c r="G404" s="16" t="n">
        <x:v>318083.08</x:v>
      </x:c>
      <x:c r="H404" s="16" t="n">
        <x:v>285127.61</x:v>
      </x:c>
      <x:c r="I404" s="16" t="n">
        <x:v>32955.87</x:v>
      </x:c>
      <x:c r="J404" s="16" t="n">
        <x:v>34797.3</x:v>
      </x:c>
      <x:c r="K404" s="16" t="n">
        <x:v>892</x:v>
      </x:c>
      <x:c r="L404" s="16" t="n">
        <x:v>591.23</x:v>
      </x:c>
      <x:c r="M404" s="16" t="n">
        <x:v>529.98</x:v>
      </x:c>
      <x:c r="N404" s="16" t="n">
        <x:v>0.12204114501573525</x:v>
      </x:c>
      <x:c r="O404" s="16" t="n">
        <x:v>0.5475751995089012</x:v>
      </x:c>
    </x:row>
    <x:row r="405">
      <x:c r="A405" s="16" t="str">
        <x:v>USCA</x:v>
      </x:c>
      <x:c r="B405" s="16" t="str">
        <x:v>Corporate</x:v>
      </x:c>
      <x:c r="C405" s="16" t="str">
        <x:v>2016-05</x:v>
      </x:c>
      <x:c r="D405" s="16" t="n">
        <x:v>1601</x:v>
      </x:c>
      <x:c r="E405" s="16" t="n">
        <x:v>527</x:v>
      </x:c>
      <x:c r="F405" s="16" t="n">
        <x:v>3558</x:v>
      </x:c>
      <x:c r="G405" s="16" t="n">
        <x:v>314918.74</x:v>
      </x:c>
      <x:c r="H405" s="16" t="n">
        <x:v>283129.6</x:v>
      </x:c>
      <x:c r="I405" s="16" t="n">
        <x:v>31789.56</x:v>
      </x:c>
      <x:c r="J405" s="16" t="n">
        <x:v>30567.39</x:v>
      </x:c>
      <x:c r="K405" s="16" t="n">
        <x:v>844</x:v>
      </x:c>
      <x:c r="L405" s="16" t="n">
        <x:v>597.57</x:v>
      </x:c>
      <x:c r="M405" s="16" t="n">
        <x:v>537.25</x:v>
      </x:c>
      <x:c r="N405" s="16" t="n">
        <x:v>0.10796253729740728</x:v>
      </x:c>
      <x:c r="O405" s="16" t="n">
        <x:v>0.5271705184259837</x:v>
      </x:c>
    </x:row>
    <x:row r="406">
      <x:c r="A406" s="16" t="str">
        <x:v>USCA</x:v>
      </x:c>
      <x:c r="B406" s="16" t="str">
        <x:v>Corporate</x:v>
      </x:c>
      <x:c r="C406" s="16" t="str">
        <x:v>2016-06</x:v>
      </x:c>
      <x:c r="D406" s="16" t="n">
        <x:v>1510</x:v>
      </x:c>
      <x:c r="E406" s="16" t="n">
        <x:v>513</x:v>
      </x:c>
      <x:c r="F406" s="16" t="n">
        <x:v>3436</x:v>
      </x:c>
      <x:c r="G406" s="16" t="n">
        <x:v>300015.66</x:v>
      </x:c>
      <x:c r="H406" s="16" t="n">
        <x:v>270342.99</x:v>
      </x:c>
      <x:c r="I406" s="16" t="n">
        <x:v>29673.04</x:v>
      </x:c>
      <x:c r="J406" s="16" t="n">
        <x:v>25934.97</x:v>
      </x:c>
      <x:c r="K406" s="16" t="n">
        <x:v>902</x:v>
      </x:c>
      <x:c r="L406" s="16" t="n">
        <x:v>584.83</x:v>
      </x:c>
      <x:c r="M406" s="16" t="n">
        <x:v>526.98</x:v>
      </x:c>
      <x:c r="N406" s="16" t="n">
        <x:v>0.09593357682401901</x:v>
      </x:c>
      <x:c r="O406" s="16" t="n">
        <x:v>0.5973509933774834</x:v>
      </x:c>
    </x:row>
    <x:row r="407">
      <x:c r="A407" s="16" t="str">
        <x:v>USCA</x:v>
      </x:c>
      <x:c r="B407" s="16" t="str">
        <x:v>Corporate</x:v>
      </x:c>
      <x:c r="C407" s="16" t="str">
        <x:v>2016-07</x:v>
      </x:c>
      <x:c r="D407" s="16" t="n">
        <x:v>1504</x:v>
      </x:c>
      <x:c r="E407" s="16" t="n">
        <x:v>504</x:v>
      </x:c>
      <x:c r="F407" s="16" t="n">
        <x:v>3296</x:v>
      </x:c>
      <x:c r="G407" s="16" t="n">
        <x:v>289152.23</x:v>
      </x:c>
      <x:c r="H407" s="16" t="n">
        <x:v>259542.3</x:v>
      </x:c>
      <x:c r="I407" s="16" t="n">
        <x:v>29610.29</x:v>
      </x:c>
      <x:c r="J407" s="16" t="n">
        <x:v>36925.67</x:v>
      </x:c>
      <x:c r="K407" s="16" t="n">
        <x:v>812</x:v>
      </x:c>
      <x:c r="L407" s="16" t="n">
        <x:v>573.71</x:v>
      </x:c>
      <x:c r="M407" s="16" t="n">
        <x:v>514.96</x:v>
      </x:c>
      <x:c r="N407" s="16" t="n">
        <x:v>0.14227226159281164</x:v>
      </x:c>
      <x:c r="O407" s="16" t="n">
        <x:v>0.5398936170212766</x:v>
      </x:c>
    </x:row>
    <x:row r="408">
      <x:c r="A408" s="16" t="str">
        <x:v>USCA</x:v>
      </x:c>
      <x:c r="B408" s="16" t="str">
        <x:v>Corporate</x:v>
      </x:c>
      <x:c r="C408" s="16" t="str">
        <x:v>2016-08</x:v>
      </x:c>
      <x:c r="D408" s="16" t="n">
        <x:v>1224</x:v>
      </x:c>
      <x:c r="E408" s="16" t="n">
        <x:v>399</x:v>
      </x:c>
      <x:c r="F408" s="16" t="n">
        <x:v>2781</x:v>
      </x:c>
      <x:c r="G408" s="16" t="n">
        <x:v>239081.97</x:v>
      </x:c>
      <x:c r="H408" s="16" t="n">
        <x:v>214827.88</x:v>
      </x:c>
      <x:c r="I408" s="16" t="n">
        <x:v>24254.3</x:v>
      </x:c>
      <x:c r="J408" s="16" t="n">
        <x:v>30078.31</x:v>
      </x:c>
      <x:c r="K408" s="16" t="n">
        <x:v>684</x:v>
      </x:c>
      <x:c r="L408" s="16" t="n">
        <x:v>599.2</x:v>
      </x:c>
      <x:c r="M408" s="16" t="n">
        <x:v>538.42</x:v>
      </x:c>
      <x:c r="N408" s="16" t="n">
        <x:v>0.14001120338756776</x:v>
      </x:c>
      <x:c r="O408" s="16" t="n">
        <x:v>0.5588235294117647</x:v>
      </x:c>
    </x:row>
    <x:row r="409">
      <x:c r="A409" s="16" t="str">
        <x:v>USCA</x:v>
      </x:c>
      <x:c r="B409" s="16" t="str">
        <x:v>Corporate</x:v>
      </x:c>
      <x:c r="C409" s="16" t="str">
        <x:v>2016-09</x:v>
      </x:c>
      <x:c r="D409" s="16" t="n">
        <x:v>59</x:v>
      </x:c>
      <x:c r="E409" s="16" t="n">
        <x:v>19</x:v>
      </x:c>
      <x:c r="F409" s="16" t="n">
        <x:v>137</x:v>
      </x:c>
      <x:c r="G409" s="16" t="n">
        <x:v>9079.65</x:v>
      </x:c>
      <x:c r="H409" s="16" t="n">
        <x:v>8261.74</x:v>
      </x:c>
      <x:c r="I409" s="16" t="n">
        <x:v>817.92</x:v>
      </x:c>
      <x:c r="J409" s="16" t="n">
        <x:v>-521.27</x:v>
      </x:c>
      <x:c r="K409" s="16" t="n">
        <x:v>33</x:v>
      </x:c>
      <x:c r="L409" s="16" t="n">
        <x:v>477.88</x:v>
      </x:c>
      <x:c r="M409" s="16" t="n">
        <x:v>434.83</x:v>
      </x:c>
      <x:c r="N409" s="16" t="n">
        <x:v>-0.06309445709983612</x:v>
      </x:c>
      <x:c r="O409" s="16" t="n">
        <x:v>0.559322033898305</x:v>
      </x:c>
    </x:row>
    <x:row r="410">
      <x:c r="A410" s="16" t="str">
        <x:v>USCA</x:v>
      </x:c>
      <x:c r="B410" s="16" t="str">
        <x:v>Corporate</x:v>
      </x:c>
      <x:c r="C410" s="16" t="str">
        <x:v>2016-10</x:v>
      </x:c>
      <x:c r="D410" s="16" t="n">
        <x:v>55</x:v>
      </x:c>
      <x:c r="E410" s="16" t="n">
        <x:v>15</x:v>
      </x:c>
      <x:c r="F410" s="16" t="n">
        <x:v>114</x:v>
      </x:c>
      <x:c r="G410" s="16" t="n">
        <x:v>8685.81</x:v>
      </x:c>
      <x:c r="H410" s="16" t="n">
        <x:v>7908.02</x:v>
      </x:c>
      <x:c r="I410" s="16" t="n">
        <x:v>777.8</x:v>
      </x:c>
      <x:c r="J410" s="16" t="n">
        <x:v>1214.33</x:v>
      </x:c>
      <x:c r="K410" s="16" t="n">
        <x:v>34</x:v>
      </x:c>
      <x:c r="L410" s="16" t="n">
        <x:v>579.05</x:v>
      </x:c>
      <x:c r="M410" s="16" t="n">
        <x:v>527.2</x:v>
      </x:c>
      <x:c r="N410" s="16" t="n">
        <x:v>0.15355676895101428</x:v>
      </x:c>
      <x:c r="O410" s="16" t="n">
        <x:v>0.6181818181818182</x:v>
      </x:c>
    </x:row>
    <x:row r="411">
      <x:c r="A411" s="16" t="str">
        <x:v>USCA</x:v>
      </x:c>
      <x:c r="B411" s="16" t="str">
        <x:v>Corporate</x:v>
      </x:c>
      <x:c r="C411" s="16" t="str">
        <x:v>2016-11</x:v>
      </x:c>
      <x:c r="D411" s="16" t="n">
        <x:v>42</x:v>
      </x:c>
      <x:c r="E411" s="16" t="n">
        <x:v>14</x:v>
      </x:c>
      <x:c r="F411" s="16" t="n">
        <x:v>116</x:v>
      </x:c>
      <x:c r="G411" s="16" t="n">
        <x:v>9268.67</x:v>
      </x:c>
      <x:c r="H411" s="16" t="n">
        <x:v>8340.41</x:v>
      </x:c>
      <x:c r="I411" s="16" t="n">
        <x:v>928.26</x:v>
      </x:c>
      <x:c r="J411" s="16" t="n">
        <x:v>621.08</x:v>
      </x:c>
      <x:c r="K411" s="16" t="n">
        <x:v>24</x:v>
      </x:c>
      <x:c r="L411" s="16" t="n">
        <x:v>662.05</x:v>
      </x:c>
      <x:c r="M411" s="16" t="n">
        <x:v>595.74</x:v>
      </x:c>
      <x:c r="N411" s="16" t="n">
        <x:v>0.07446636316440078</x:v>
      </x:c>
      <x:c r="O411" s="16" t="n">
        <x:v>0.5714285714285714</x:v>
      </x:c>
    </x:row>
    <x:row r="412">
      <x:c r="A412" s="16" t="str">
        <x:v>USCA</x:v>
      </x:c>
      <x:c r="B412" s="16" t="str">
        <x:v>Corporate</x:v>
      </x:c>
      <x:c r="C412" s="16" t="str">
        <x:v>2016-12</x:v>
      </x:c>
      <x:c r="D412" s="16" t="n">
        <x:v>76</x:v>
      </x:c>
      <x:c r="E412" s="16" t="n">
        <x:v>26</x:v>
      </x:c>
      <x:c r="F412" s="16" t="n">
        <x:v>172</x:v>
      </x:c>
      <x:c r="G412" s="16" t="n">
        <x:v>15225.22</x:v>
      </x:c>
      <x:c r="H412" s="16" t="n">
        <x:v>13485.48</x:v>
      </x:c>
      <x:c r="I412" s="16" t="n">
        <x:v>1739.75</x:v>
      </x:c>
      <x:c r="J412" s="16" t="n">
        <x:v>1825.8</x:v>
      </x:c>
      <x:c r="K412" s="16" t="n">
        <x:v>39</x:v>
      </x:c>
      <x:c r="L412" s="16" t="n">
        <x:v>585.59</x:v>
      </x:c>
      <x:c r="M412" s="16" t="n">
        <x:v>518.67</x:v>
      </x:c>
      <x:c r="N412" s="16" t="n">
        <x:v>0.13539006397992506</x:v>
      </x:c>
      <x:c r="O412" s="16" t="n">
        <x:v>0.5131578947368421</x:v>
      </x:c>
    </x:row>
    <x:row r="413">
      <x:c r="A413" s="16" t="str">
        <x:v>USCA</x:v>
      </x:c>
      <x:c r="B413" s="16" t="str">
        <x:v>Corporate</x:v>
      </x:c>
      <x:c r="C413" s="16" t="str">
        <x:v>2017-01</x:v>
      </x:c>
      <x:c r="D413" s="16" t="n">
        <x:v>41</x:v>
      </x:c>
      <x:c r="E413" s="16" t="n">
        <x:v>15</x:v>
      </x:c>
      <x:c r="F413" s="16" t="n">
        <x:v>97</x:v>
      </x:c>
      <x:c r="G413" s="16" t="n">
        <x:v>7360.17</x:v>
      </x:c>
      <x:c r="H413" s="16" t="n">
        <x:v>6589.49</x:v>
      </x:c>
      <x:c r="I413" s="16" t="n">
        <x:v>770.68</x:v>
      </x:c>
      <x:c r="J413" s="16" t="n">
        <x:v>1274.56</x:v>
      </x:c>
      <x:c r="K413" s="16" t="n">
        <x:v>21</x:v>
      </x:c>
      <x:c r="L413" s="16" t="n">
        <x:v>490.68</x:v>
      </x:c>
      <x:c r="M413" s="16" t="n">
        <x:v>439.3</x:v>
      </x:c>
      <x:c r="N413" s="16" t="n">
        <x:v>0.19342316324935618</x:v>
      </x:c>
      <x:c r="O413" s="16" t="n">
        <x:v>0.5121951219512195</x:v>
      </x:c>
    </x:row>
    <x:row r="414">
      <x:c r="A414" s="16" t="str">
        <x:v>USCA</x:v>
      </x:c>
      <x:c r="B414" s="16" t="str">
        <x:v>Home Office</x:v>
      </x:c>
      <x:c r="C414" s="16" t="str">
        <x:v>2016-04</x:v>
      </x:c>
      <x:c r="D414" s="16" t="n">
        <x:v>765</x:v>
      </x:c>
      <x:c r="E414" s="16" t="n">
        <x:v>255</x:v>
      </x:c>
      <x:c r="F414" s="16" t="n">
        <x:v>1682</x:v>
      </x:c>
      <x:c r="G414" s="16" t="n">
        <x:v>149277.38</x:v>
      </x:c>
      <x:c r="H414" s="16" t="n">
        <x:v>134397.6</x:v>
      </x:c>
      <x:c r="I414" s="16" t="n">
        <x:v>14879.91</x:v>
      </x:c>
      <x:c r="J414" s="16" t="n">
        <x:v>19626.18</x:v>
      </x:c>
      <x:c r="K414" s="16" t="n">
        <x:v>454</x:v>
      </x:c>
      <x:c r="L414" s="16" t="n">
        <x:v>585.4</x:v>
      </x:c>
      <x:c r="M414" s="16" t="n">
        <x:v>527.05</x:v>
      </x:c>
      <x:c r="N414" s="16" t="n">
        <x:v>0.1460307326916552</x:v>
      </x:c>
      <x:c r="O414" s="16" t="n">
        <x:v>0.5934640522875817</x:v>
      </x:c>
    </x:row>
    <x:row r="415">
      <x:c r="A415" s="16" t="str">
        <x:v>USCA</x:v>
      </x:c>
      <x:c r="B415" s="16" t="str">
        <x:v>Home Office</x:v>
      </x:c>
      <x:c r="C415" s="16" t="str">
        <x:v>2016-05</x:v>
      </x:c>
      <x:c r="D415" s="16" t="n">
        <x:v>896</x:v>
      </x:c>
      <x:c r="E415" s="16" t="n">
        <x:v>294</x:v>
      </x:c>
      <x:c r="F415" s="16" t="n">
        <x:v>1957</x:v>
      </x:c>
      <x:c r="G415" s="16" t="n">
        <x:v>174640.29</x:v>
      </x:c>
      <x:c r="H415" s="16" t="n">
        <x:v>156991.34</x:v>
      </x:c>
      <x:c r="I415" s="16" t="n">
        <x:v>17649.15</x:v>
      </x:c>
      <x:c r="J415" s="16" t="n">
        <x:v>16521.9</x:v>
      </x:c>
      <x:c r="K415" s="16" t="n">
        <x:v>549</x:v>
      </x:c>
      <x:c r="L415" s="16" t="n">
        <x:v>594.01</x:v>
      </x:c>
      <x:c r="M415" s="16" t="n">
        <x:v>533.98</x:v>
      </x:c>
      <x:c r="N415" s="16" t="n">
        <x:v>0.10524083685125563</x:v>
      </x:c>
      <x:c r="O415" s="16" t="n">
        <x:v>0.6127232142857143</x:v>
      </x:c>
    </x:row>
    <x:row r="416">
      <x:c r="A416" s="16" t="str">
        <x:v>USCA</x:v>
      </x:c>
      <x:c r="B416" s="16" t="str">
        <x:v>Home Office</x:v>
      </x:c>
      <x:c r="C416" s="16" t="str">
        <x:v>2016-06</x:v>
      </x:c>
      <x:c r="D416" s="16" t="n">
        <x:v>899</x:v>
      </x:c>
      <x:c r="E416" s="16" t="n">
        <x:v>290</x:v>
      </x:c>
      <x:c r="F416" s="16" t="n">
        <x:v>1927</x:v>
      </x:c>
      <x:c r="G416" s="16" t="n">
        <x:v>181985.13</x:v>
      </x:c>
      <x:c r="H416" s="16" t="n">
        <x:v>163223.05</x:v>
      </x:c>
      <x:c r="I416" s="16" t="n">
        <x:v>18762.3</x:v>
      </x:c>
      <x:c r="J416" s="16" t="n">
        <x:v>20853.38</x:v>
      </x:c>
      <x:c r="K416" s="16" t="n">
        <x:v>470</x:v>
      </x:c>
      <x:c r="L416" s="16" t="n">
        <x:v>627.53</x:v>
      </x:c>
      <x:c r="M416" s="16" t="n">
        <x:v>562.84</x:v>
      </x:c>
      <x:c r="N416" s="16" t="n">
        <x:v>0.12776001918846633</x:v>
      </x:c>
      <x:c r="O416" s="16" t="n">
        <x:v>0.5228031145717463</x:v>
      </x:c>
    </x:row>
    <x:row r="417">
      <x:c r="A417" s="16" t="str">
        <x:v>USCA</x:v>
      </x:c>
      <x:c r="B417" s="16" t="str">
        <x:v>Home Office</x:v>
      </x:c>
      <x:c r="C417" s="16" t="str">
        <x:v>2016-07</x:v>
      </x:c>
      <x:c r="D417" s="16" t="n">
        <x:v>1023</x:v>
      </x:c>
      <x:c r="E417" s="16" t="n">
        <x:v>337</x:v>
      </x:c>
      <x:c r="F417" s="16" t="n">
        <x:v>2258</x:v>
      </x:c>
      <x:c r="G417" s="16" t="n">
        <x:v>201795.49</x:v>
      </x:c>
      <x:c r="H417" s="16" t="n">
        <x:v>181358.2</x:v>
      </x:c>
      <x:c r="I417" s="16" t="n">
        <x:v>20437.49</x:v>
      </x:c>
      <x:c r="J417" s="16" t="n">
        <x:v>23230.83</x:v>
      </x:c>
      <x:c r="K417" s="16" t="n">
        <x:v>550</x:v>
      </x:c>
      <x:c r="L417" s="16" t="n">
        <x:v>598.8</x:v>
      </x:c>
      <x:c r="M417" s="16" t="n">
        <x:v>538.15</x:v>
      </x:c>
      <x:c r="N417" s="16" t="n">
        <x:v>0.12809362907218974</x:v>
      </x:c>
      <x:c r="O417" s="16" t="n">
        <x:v>0.5376344086021505</x:v>
      </x:c>
    </x:row>
    <x:row r="418">
      <x:c r="A418" s="16" t="str">
        <x:v>USCA</x:v>
      </x:c>
      <x:c r="B418" s="16" t="str">
        <x:v>Home Office</x:v>
      </x:c>
      <x:c r="C418" s="16" t="str">
        <x:v>2016-08</x:v>
      </x:c>
      <x:c r="D418" s="16" t="n">
        <x:v>780</x:v>
      </x:c>
      <x:c r="E418" s="16" t="n">
        <x:v>261</x:v>
      </x:c>
      <x:c r="F418" s="16" t="n">
        <x:v>1701</x:v>
      </x:c>
      <x:c r="G418" s="16" t="n">
        <x:v>149734.56</x:v>
      </x:c>
      <x:c r="H418" s="16" t="n">
        <x:v>134461.03</x:v>
      </x:c>
      <x:c r="I418" s="16" t="n">
        <x:v>15273.73</x:v>
      </x:c>
      <x:c r="J418" s="16" t="n">
        <x:v>12411.96</x:v>
      </x:c>
      <x:c r="K418" s="16" t="n">
        <x:v>434</x:v>
      </x:c>
      <x:c r="L418" s="16" t="n">
        <x:v>573.7</x:v>
      </x:c>
      <x:c r="M418" s="16" t="n">
        <x:v>515.18</x:v>
      </x:c>
      <x:c r="N418" s="16" t="n">
        <x:v>0.0923089760654072</x:v>
      </x:c>
      <x:c r="O418" s="16" t="n">
        <x:v>0.5564102564102564</x:v>
      </x:c>
    </x:row>
    <x:row r="419">
      <x:c r="A419" s="16" t="str">
        <x:v>USCA</x:v>
      </x:c>
      <x:c r="B419" s="16" t="str">
        <x:v>Home Office</x:v>
      </x:c>
      <x:c r="C419" s="16" t="str">
        <x:v>2016-09</x:v>
      </x:c>
      <x:c r="D419" s="16" t="n">
        <x:v>38</x:v>
      </x:c>
      <x:c r="E419" s="16" t="n">
        <x:v>14</x:v>
      </x:c>
      <x:c r="F419" s="16" t="n">
        <x:v>88</x:v>
      </x:c>
      <x:c r="G419" s="16" t="n">
        <x:v>6627.09</x:v>
      </x:c>
      <x:c r="H419" s="16" t="n">
        <x:v>6069.25</x:v>
      </x:c>
      <x:c r="I419" s="16" t="n">
        <x:v>557.84</x:v>
      </x:c>
      <x:c r="J419" s="16" t="n">
        <x:v>1415.16</x:v>
      </x:c>
      <x:c r="K419" s="16" t="n">
        <x:v>25</x:v>
      </x:c>
      <x:c r="L419" s="16" t="n">
        <x:v>473.36</x:v>
      </x:c>
      <x:c r="M419" s="16" t="n">
        <x:v>433.52</x:v>
      </x:c>
      <x:c r="N419" s="16" t="n">
        <x:v>0.23316884293776002</x:v>
      </x:c>
      <x:c r="O419" s="16" t="n">
        <x:v>0.6578947368421053</x:v>
      </x:c>
    </x:row>
    <x:row r="420">
      <x:c r="A420" s="16" t="str">
        <x:v>USCA</x:v>
      </x:c>
      <x:c r="B420" s="16" t="str">
        <x:v>Home Office</x:v>
      </x:c>
      <x:c r="C420" s="16" t="str">
        <x:v>2016-10</x:v>
      </x:c>
      <x:c r="D420" s="16" t="n">
        <x:v>16</x:v>
      </x:c>
      <x:c r="E420" s="16" t="n">
        <x:v>6</x:v>
      </x:c>
      <x:c r="F420" s="16" t="n">
        <x:v>44</x:v>
      </x:c>
      <x:c r="G420" s="16" t="n">
        <x:v>3543.35</x:v>
      </x:c>
      <x:c r="H420" s="16" t="n">
        <x:v>3011.79</x:v>
      </x:c>
      <x:c r="I420" s="16" t="n">
        <x:v>531.56</x:v>
      </x:c>
      <x:c r="J420" s="16" t="n">
        <x:v>339.45</x:v>
      </x:c>
      <x:c r="K420" s="16" t="n">
        <x:v>4</x:v>
      </x:c>
      <x:c r="L420" s="16" t="n">
        <x:v>590.56</x:v>
      </x:c>
      <x:c r="M420" s="16" t="n">
        <x:v>501.96</x:v>
      </x:c>
      <x:c r="N420" s="16" t="n">
        <x:v>0.11270706124929031</x:v>
      </x:c>
      <x:c r="O420" s="16" t="n">
        <x:v>0.25</x:v>
      </x:c>
    </x:row>
    <x:row r="421">
      <x:c r="A421" s="16" t="str">
        <x:v>USCA</x:v>
      </x:c>
      <x:c r="B421" s="16" t="str">
        <x:v>Home Office</x:v>
      </x:c>
      <x:c r="C421" s="16" t="str">
        <x:v>2016-11</x:v>
      </x:c>
      <x:c r="D421" s="16" t="n">
        <x:v>73</x:v>
      </x:c>
      <x:c r="E421" s="16" t="n">
        <x:v>22</x:v>
      </x:c>
      <x:c r="F421" s="16" t="n">
        <x:v>152</x:v>
      </x:c>
      <x:c r="G421" s="16" t="n">
        <x:v>16136.35</x:v>
      </x:c>
      <x:c r="H421" s="16" t="n">
        <x:v>14799.22</x:v>
      </x:c>
      <x:c r="I421" s="16" t="n">
        <x:v>1337.14</x:v>
      </x:c>
      <x:c r="J421" s="16" t="n">
        <x:v>1752.45</x:v>
      </x:c>
      <x:c r="K421" s="16" t="n">
        <x:v>37</x:v>
      </x:c>
      <x:c r="L421" s="16" t="n">
        <x:v>733.47</x:v>
      </x:c>
      <x:c r="M421" s="16" t="n">
        <x:v>672.69</x:v>
      </x:c>
      <x:c r="N421" s="16" t="n">
        <x:v>0.11841502457561952</x:v>
      </x:c>
      <x:c r="O421" s="16" t="n">
        <x:v>0.5068493150684932</x:v>
      </x:c>
    </x:row>
    <x:row r="422">
      <x:c r="A422" s="16" t="str">
        <x:v>USCA</x:v>
      </x:c>
      <x:c r="B422" s="16" t="str">
        <x:v>Home Office</x:v>
      </x:c>
      <x:c r="C422" s="16" t="str">
        <x:v>2016-12</x:v>
      </x:c>
      <x:c r="D422" s="16" t="n">
        <x:v>47</x:v>
      </x:c>
      <x:c r="E422" s="16" t="n">
        <x:v>15</x:v>
      </x:c>
      <x:c r="F422" s="16" t="n">
        <x:v>88</x:v>
      </x:c>
      <x:c r="G422" s="16" t="n">
        <x:v>9006.87</x:v>
      </x:c>
      <x:c r="H422" s="16" t="n">
        <x:v>8186.35</x:v>
      </x:c>
      <x:c r="I422" s="16" t="n">
        <x:v>820.52</x:v>
      </x:c>
      <x:c r="J422" s="16" t="n">
        <x:v>1846.92</x:v>
      </x:c>
      <x:c r="K422" s="16" t="n">
        <x:v>27</x:v>
      </x:c>
      <x:c r="L422" s="16" t="n">
        <x:v>600.46</x:v>
      </x:c>
      <x:c r="M422" s="16" t="n">
        <x:v>545.76</x:v>
      </x:c>
      <x:c r="N422" s="16" t="n">
        <x:v>0.2256097039584186</x:v>
      </x:c>
      <x:c r="O422" s="16" t="n">
        <x:v>0.574468085106383</x:v>
      </x:c>
    </x:row>
    <x:row r="423">
      <x:c r="A423" s="16" t="str">
        <x:v>USCA</x:v>
      </x:c>
      <x:c r="B423" s="16" t="str">
        <x:v>Home Office</x:v>
      </x:c>
      <x:c r="C423" s="16" t="str">
        <x:v>2017-01</x:v>
      </x:c>
      <x:c r="D423" s="16" t="n">
        <x:v>14</x:v>
      </x:c>
      <x:c r="E423" s="16" t="n">
        <x:v>6</x:v>
      </x:c>
      <x:c r="F423" s="16" t="n">
        <x:v>21</x:v>
      </x:c>
      <x:c r="G423" s="16" t="n">
        <x:v>2619.74</x:v>
      </x:c>
      <x:c r="H423" s="16" t="n">
        <x:v>2223.16</x:v>
      </x:c>
      <x:c r="I423" s="16" t="n">
        <x:v>396.6</x:v>
      </x:c>
      <x:c r="J423" s="16" t="n">
        <x:v>685.27</x:v>
      </x:c>
      <x:c r="K423" s="16" t="n">
        <x:v>4</x:v>
      </x:c>
      <x:c r="L423" s="16" t="n">
        <x:v>436.62</x:v>
      </x:c>
      <x:c r="M423" s="16" t="n">
        <x:v>370.53</x:v>
      </x:c>
      <x:c r="N423" s="16" t="n">
        <x:v>0.30824142211986544</x:v>
      </x:c>
      <x:c r="O423" s="16" t="n">
        <x:v>0.2857142857142857</x:v>
      </x:c>
    </x:row>
  </x:sheetData>
  <x:pageMargins left="0.7" right="0.7" top="0.75" bottom="0.75" header="0.3" footer="0.3"/>
  <x:tableParts count="2">
    <x:tablePart xmlns:r="http://schemas.openxmlformats.org/officeDocument/2006/relationships" r:id="R08fd6544f7984bc5"/>
    <x:tablePart xmlns:r="http://schemas.openxmlformats.org/officeDocument/2006/relationships" r:id="R02689be1d333452b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90" hidden="0" customWidth="1"/>
  </x:cols>
  <x:sheetData>
    <x:row r="2">
      <x:c r="A2" s="21" t="str">
        <x:v>Data Dictionary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3">
      <x:c r="A3" s="22" t="str">
        <x:v>Original DataCo field definitions</x:v>
      </x:c>
    </x:row>
    <x:row r="5">
      <x:c r="A5" s="12" t="str">
        <x:v>FIELDS</x:v>
      </x:c>
      <x:c r="B5" s="14" t="str">
        <x:v>DESCRIPTION</x:v>
      </x:c>
    </x:row>
    <x:row r="6">
      <x:c r="A6" s="51" t="str">
        <x:v>Type</x:v>
      </x:c>
      <x:c r="B6" s="51" t="str">
        <x:v>:  Type of transaction made</x:v>
      </x:c>
    </x:row>
    <x:row r="7">
      <x:c r="A7" s="52" t="str">
        <x:v>Days for shipping (real)     </x:v>
      </x:c>
      <x:c r="B7" s="52" t="str">
        <x:v>:  Actual shipping days of the purchased product</x:v>
      </x:c>
    </x:row>
    <x:row r="8">
      <x:c r="A8" s="52" t="str">
        <x:v>Days for shipment (scheduled)</x:v>
      </x:c>
      <x:c r="B8" s="52" t="str">
        <x:v>:  Days of scheduled delivery of the purchased product</x:v>
      </x:c>
    </x:row>
    <x:row r="9">
      <x:c r="A9" s="52" t="str">
        <x:v>Benefit per order</x:v>
      </x:c>
      <x:c r="B9" s="52" t="str">
        <x:v>:  Earnings per order placed</x:v>
      </x:c>
    </x:row>
    <x:row r="10">
      <x:c r="A10" s="52" t="str">
        <x:v>Sales per customer</x:v>
      </x:c>
      <x:c r="B10" s="52" t="str">
        <x:v>:  Total sales per customer made per customer</x:v>
      </x:c>
    </x:row>
    <x:row r="11">
      <x:c r="A11" s="52" t="str">
        <x:v>Delivery Status</x:v>
      </x:c>
      <x:c r="B11" s="52" t="str">
        <x:v>:  Delivery status of orders: Advance shipping , Late delivery , Shipping canceled , Shipping on time</x:v>
      </x:c>
    </x:row>
    <x:row r="12">
      <x:c r="A12" s="52" t="str">
        <x:v>Late_delivery_risk           </x:v>
      </x:c>
      <x:c r="B12" s="52" t="str">
        <x:v>:  Categorical variable that indicates if sending is late (1), it is not late (0).</x:v>
      </x:c>
    </x:row>
    <x:row r="13">
      <x:c r="A13" s="52" t="str">
        <x:v>Category Id</x:v>
      </x:c>
      <x:c r="B13" s="52" t="str">
        <x:v>:  Product category code</x:v>
      </x:c>
    </x:row>
    <x:row r="14">
      <x:c r="A14" s="52" t="str">
        <x:v>Category Name</x:v>
      </x:c>
      <x:c r="B14" s="52" t="str">
        <x:v>:  Description of the product category</x:v>
      </x:c>
    </x:row>
    <x:row r="15">
      <x:c r="A15" s="52" t="str">
        <x:v>Customer City</x:v>
      </x:c>
      <x:c r="B15" s="52" t="str">
        <x:v>:  City where the customer made the purchase</x:v>
      </x:c>
    </x:row>
    <x:row r="16">
      <x:c r="A16" s="52" t="str">
        <x:v>Customer Country</x:v>
      </x:c>
      <x:c r="B16" s="52" t="str">
        <x:v>:  Country where the customer made the purchase</x:v>
      </x:c>
    </x:row>
    <x:row r="17">
      <x:c r="A17" s="52" t="str">
        <x:v>Customer Email</x:v>
      </x:c>
      <x:c r="B17" s="52" t="str">
        <x:v>:  Customer's email</x:v>
      </x:c>
    </x:row>
    <x:row r="18">
      <x:c r="A18" s="52" t="str">
        <x:v>Customer Fname</x:v>
      </x:c>
      <x:c r="B18" s="52" t="str">
        <x:v>:  Customer name</x:v>
      </x:c>
    </x:row>
    <x:row r="19">
      <x:c r="A19" s="52" t="str">
        <x:v>Customer Id</x:v>
      </x:c>
      <x:c r="B19" s="52" t="str">
        <x:v>:  Customer ID</x:v>
      </x:c>
    </x:row>
    <x:row r="20">
      <x:c r="A20" s="52" t="str">
        <x:v>Customer Lname</x:v>
      </x:c>
      <x:c r="B20" s="52" t="str">
        <x:v>:  Customer lastname</x:v>
      </x:c>
    </x:row>
    <x:row r="21">
      <x:c r="A21" s="52" t="str">
        <x:v>Customer Password</x:v>
      </x:c>
      <x:c r="B21" s="52" t="str">
        <x:v>:  Masked customer key</x:v>
      </x:c>
    </x:row>
    <x:row r="22">
      <x:c r="A22" s="52" t="str">
        <x:v>Customer Segment</x:v>
      </x:c>
      <x:c r="B22" s="52" t="str">
        <x:v>:  Types of Customers: Consumer , Corporate , Home Office</x:v>
      </x:c>
    </x:row>
    <x:row r="23">
      <x:c r="A23" s="52" t="str">
        <x:v>Customer State</x:v>
      </x:c>
      <x:c r="B23" s="52" t="str">
        <x:v>:  State to which the store where the purchase is registered belongs</x:v>
      </x:c>
    </x:row>
    <x:row r="24">
      <x:c r="A24" s="52" t="str">
        <x:v>Customer Street</x:v>
      </x:c>
      <x:c r="B24" s="52" t="str">
        <x:v>:  Street to which the store where the purchase is registered belongs</x:v>
      </x:c>
    </x:row>
    <x:row r="25">
      <x:c r="A25" s="52" t="str">
        <x:v>Customer Zipcode</x:v>
      </x:c>
      <x:c r="B25" s="52" t="str">
        <x:v>:  Customer Zipcode</x:v>
      </x:c>
    </x:row>
    <x:row r="26">
      <x:c r="A26" s="52" t="str">
        <x:v>Department Id</x:v>
      </x:c>
      <x:c r="B26" s="52" t="str">
        <x:v>:  Department code of store</x:v>
      </x:c>
    </x:row>
    <x:row r="27">
      <x:c r="A27" s="52" t="str">
        <x:v>Department Name</x:v>
      </x:c>
      <x:c r="B27" s="52" t="str">
        <x:v>:  Department name of store</x:v>
      </x:c>
    </x:row>
    <x:row r="28">
      <x:c r="A28" s="52" t="str">
        <x:v>Latitude</x:v>
      </x:c>
      <x:c r="B28" s="52" t="str">
        <x:v>:  Latitude corresponding to location of store</x:v>
      </x:c>
    </x:row>
    <x:row r="29">
      <x:c r="A29" s="52" t="str">
        <x:v>Longitude</x:v>
      </x:c>
      <x:c r="B29" s="52" t="str">
        <x:v>:  Longitude corresponding to location of store</x:v>
      </x:c>
    </x:row>
    <x:row r="30">
      <x:c r="A30" s="52" t="str">
        <x:v>Market</x:v>
      </x:c>
      <x:c r="B30" s="52" t="str">
        <x:v>:  Market to where the order is delivered : Africa , Europe , LATAM , Pacific Asia , USCA</x:v>
      </x:c>
    </x:row>
    <x:row r="31">
      <x:c r="A31" s="52" t="str">
        <x:v>Order City</x:v>
      </x:c>
      <x:c r="B31" s="52" t="str">
        <x:v>:  Destination city of the order</x:v>
      </x:c>
    </x:row>
    <x:row r="32">
      <x:c r="A32" s="52" t="str">
        <x:v>Order Country</x:v>
      </x:c>
      <x:c r="B32" s="52" t="str">
        <x:v>:  Destination country of the order</x:v>
      </x:c>
    </x:row>
    <x:row r="33">
      <x:c r="A33" s="52" t="str">
        <x:v>Order Customer Id</x:v>
      </x:c>
      <x:c r="B33" s="52" t="str">
        <x:v>:  Customer order code</x:v>
      </x:c>
    </x:row>
    <x:row r="34">
      <x:c r="A34" s="52" t="str">
        <x:v>order date (DateOrders)</x:v>
      </x:c>
      <x:c r="B34" s="52" t="str">
        <x:v>:  Date on which the order is made</x:v>
      </x:c>
    </x:row>
    <x:row r="35">
      <x:c r="A35" s="52" t="str">
        <x:v>Order Id</x:v>
      </x:c>
      <x:c r="B35" s="52" t="str">
        <x:v>:  Order code</x:v>
      </x:c>
    </x:row>
    <x:row r="36">
      <x:c r="A36" s="52" t="str">
        <x:v>Order Item Cardprod Id</x:v>
      </x:c>
      <x:c r="B36" s="52" t="str">
        <x:v>:  Product code generated through the RFID reader</x:v>
      </x:c>
    </x:row>
    <x:row r="37">
      <x:c r="A37" s="52" t="str">
        <x:v>Order Item Discount</x:v>
      </x:c>
      <x:c r="B37" s="52" t="str">
        <x:v>:  Order item discount value</x:v>
      </x:c>
    </x:row>
    <x:row r="38">
      <x:c r="A38" s="52" t="str">
        <x:v>Order Item Discount Rate     </x:v>
      </x:c>
      <x:c r="B38" s="52" t="str">
        <x:v>:  Order item discount percentage</x:v>
      </x:c>
    </x:row>
    <x:row r="39">
      <x:c r="A39" s="52" t="str">
        <x:v>Order Item Id</x:v>
      </x:c>
      <x:c r="B39" s="52" t="str">
        <x:v>:  Order item code</x:v>
      </x:c>
    </x:row>
    <x:row r="40">
      <x:c r="A40" s="52" t="str">
        <x:v>Order Item Product Price     </x:v>
      </x:c>
      <x:c r="B40" s="52" t="str">
        <x:v>:  Price of products without discount</x:v>
      </x:c>
    </x:row>
    <x:row r="41">
      <x:c r="A41" s="52" t="str">
        <x:v>Order Item Profit Ratio</x:v>
      </x:c>
      <x:c r="B41" s="52" t="str">
        <x:v>:  Order Item Profit Ratio</x:v>
      </x:c>
    </x:row>
    <x:row r="42">
      <x:c r="A42" s="52" t="str">
        <x:v>Order Item Quantity</x:v>
      </x:c>
      <x:c r="B42" s="52" t="str">
        <x:v>:  Number of products per order</x:v>
      </x:c>
    </x:row>
    <x:row r="43">
      <x:c r="A43" s="52" t="str">
        <x:v>Sales</x:v>
      </x:c>
      <x:c r="B43" s="52" t="str">
        <x:v>:  Value in sales</x:v>
      </x:c>
    </x:row>
    <x:row r="44">
      <x:c r="A44" s="52" t="str">
        <x:v>Order Item Total  </x:v>
      </x:c>
      <x:c r="B44" s="52" t="str">
        <x:v>:  Total amount per order</x:v>
      </x:c>
    </x:row>
    <x:row r="45">
      <x:c r="A45" s="52" t="str">
        <x:v>Order Profit Per Order</x:v>
      </x:c>
      <x:c r="B45" s="52" t="str">
        <x:v>:  Order Profit Per Order</x:v>
      </x:c>
    </x:row>
    <x:row r="46">
      <x:c r="A46" s="52" t="str">
        <x:v>Order Region</x:v>
      </x:c>
      <x:c r="B46" s="52" t="str">
        <x:v>:  Region of the world where the order is delivered :  Southeast Asia ,South Asia ,Oceania ,Eastern Asia, West Asia , West of USA , US Center , West Africa, Central Africa ,North Africa ,Western Europe ,Northern , Caribbean , South America ,East Africa ,Southern Europe , East of USA ,Canada ,Southern Africa , Central Asia ,  Europe , Central America, Eastern Europe , South of  USA </x:v>
      </x:c>
    </x:row>
    <x:row r="47">
      <x:c r="A47" s="52" t="str">
        <x:v>Order State</x:v>
      </x:c>
      <x:c r="B47" s="52" t="str">
        <x:v>:  State of the region where the order is delivered</x:v>
      </x:c>
    </x:row>
    <x:row r="48">
      <x:c r="A48" s="52" t="str">
        <x:v>Order Status</x:v>
      </x:c>
      <x:c r="B48" s="52" t="str">
        <x:v>:  Order Status : COMPLETE , PENDING , CLOSED , PENDING_PAYMENT ,CANCELED , PROCESSING ,SUSPECTED_FRAUD ,ON_HOLD ,PAYMENT_REVIEW</x:v>
      </x:c>
    </x:row>
    <x:row r="49">
      <x:c r="A49" s="52" t="str">
        <x:v>Product Card Id</x:v>
      </x:c>
      <x:c r="B49" s="52" t="str">
        <x:v>:  Product code</x:v>
      </x:c>
    </x:row>
    <x:row r="50">
      <x:c r="A50" s="52" t="str">
        <x:v>Product Category Id</x:v>
      </x:c>
      <x:c r="B50" s="52" t="str">
        <x:v>:  Product category code</x:v>
      </x:c>
    </x:row>
    <x:row r="51">
      <x:c r="A51" s="52" t="str">
        <x:v>Product Description</x:v>
      </x:c>
      <x:c r="B51" s="52" t="str">
        <x:v>:  Product Description</x:v>
      </x:c>
    </x:row>
    <x:row r="52">
      <x:c r="A52" s="52" t="str">
        <x:v>Product Image</x:v>
      </x:c>
      <x:c r="B52" s="52" t="str">
        <x:v>:  Link of visit and purchase of the product</x:v>
      </x:c>
    </x:row>
    <x:row r="53">
      <x:c r="A53" s="52" t="str">
        <x:v>Product Name</x:v>
      </x:c>
      <x:c r="B53" s="52" t="str">
        <x:v>:  Product Name</x:v>
      </x:c>
    </x:row>
    <x:row r="54">
      <x:c r="A54" s="52" t="str">
        <x:v>Product Price</x:v>
      </x:c>
      <x:c r="B54" s="52" t="str">
        <x:v>:  Product Price</x:v>
      </x:c>
    </x:row>
    <x:row r="55">
      <x:c r="A55" s="52" t="str">
        <x:v>Product Status</x:v>
      </x:c>
      <x:c r="B55" s="52" t="str">
        <x:v>:  Status of the product stock :If it is 1 not available , 0 the product is available </x:v>
      </x:c>
    </x:row>
    <x:row r="56">
      <x:c r="A56" s="52" t="str">
        <x:v>Shipping date (DateOrders)   </x:v>
      </x:c>
      <x:c r="B56" s="52" t="str">
        <x:v>:  Exact date and time of shipment</x:v>
      </x:c>
    </x:row>
    <x:row r="57">
      <x:c r="A57" s="52" t="str">
        <x:v>Shipping Mode</x:v>
      </x:c>
      <x:c r="B57" s="52" t="str">
        <x:v>:  The following shipping modes are presented : Standard Class , First Class , Second Class , Same Day</x:v>
      </x:c>
    </x:row>
  </x:sheetData>
  <x:pageMargins left="0.7" right="0.7" top="0.75" bottom="0.75" header="0.3" footer="0.3"/>
  <x:tableParts count="1">
    <x:tablePart xmlns:r="http://schemas.openxmlformats.org/officeDocument/2006/relationships" r:id="R7138fafc4d5d47c7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5" hidden="0" customWidth="1"/>
  </x:cols>
  <x:sheetData>
    <x:row r="2">
      <x:c r="A2" s="21" t="str">
        <x:v>Workbook Guide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3">
      <x:c r="A3" s="22" t="str">
        <x:v>Definitions, scope, and refresh notes</x:v>
      </x:c>
    </x:row>
    <x:row r="5">
      <x:c r="A5" s="12" t="str">
        <x:v>Topic</x:v>
      </x:c>
      <x:c r="B5" s="14" t="str">
        <x:v>Definition</x:v>
      </x:c>
    </x:row>
    <x:row r="6">
      <x:c r="A6" s="51" t="str">
        <x:v>Purpose</x:v>
      </x:c>
      <x:c r="B6" s="51" t="str">
        <x:v>Interactive portfolio dashboard for DataCo supply-chain performance.</x:v>
      </x:c>
    </x:row>
    <x:row r="7">
      <x:c r="A7" s="52" t="str">
        <x:v>Source grain</x:v>
      </x:c>
      <x:c r="B7" s="52" t="str">
        <x:v>One row per order item. Order Item Id is unique; Order Id repeats across line items.</x:v>
      </x:c>
    </x:row>
    <x:row r="8">
      <x:c r="A8" s="52" t="str">
        <x:v>Gross sales</x:v>
      </x:c>
      <x:c r="B8" s="52" t="str">
        <x:v>Sum of source Sales after cent rounding. This reproduces the $36.78M resume claim.</x:v>
      </x:c>
    </x:row>
    <x:row r="9">
      <x:c r="A9" s="52" t="str">
        <x:v>Net sales</x:v>
      </x:c>
      <x:c r="B9" s="52" t="str">
        <x:v>Sum of Order Item Total after discounts: $33.05M.</x:v>
      </x:c>
    </x:row>
    <x:row r="10">
      <x:c r="A10" s="52" t="str">
        <x:v>Profit</x:v>
      </x:c>
      <x:c r="B10" s="52" t="str">
        <x:v>Sum of Order Profit Per Order, which behaves as line-item profit in this file.</x:v>
      </x:c>
    </x:row>
    <x:row r="11">
      <x:c r="A11" s="52" t="str">
        <x:v>Gross AOV</x:v>
      </x:c>
      <x:c r="B11" s="52" t="str">
        <x:v>Gross sales divided by distinct Order Id. Correct rounded value: $559.45.</x:v>
      </x:c>
    </x:row>
    <x:row r="12">
      <x:c r="A12" s="52" t="str">
        <x:v>Late Delivery %</x:v>
      </x:c>
      <x:c r="B12" s="52" t="str">
        <x:v>Dashboard headline uses row-level risk to reproduce 54.83%; Shipping tab also shows order-level 54.82%.</x:v>
      </x:c>
    </x:row>
    <x:row r="13">
      <x:c r="A13" s="52" t="str">
        <x:v>Filters</x:v>
      </x:c>
      <x:c r="B13" s="52" t="str">
        <x:v>Market and Customer Segment dropdowns update KPI cards and the monthly gross-sales chart.</x:v>
      </x:c>
    </x:row>
    <x:row r="14">
      <x:c r="A14" s="52" t="str">
        <x:v>Summary tables</x:v>
      </x:c>
      <x:c r="B14" s="52" t="str">
        <x:v>Pivot-style summary tables are precomputed by the reproducible Python pipeline. Native PivotTable/slicer export is not reliable in the authoring engine, so dropdown filters and formula-linked charts are used.</x:v>
      </x:c>
    </x:row>
    <x:row r="15">
      <x:c r="A15" s="52" t="str">
        <x:v>Period caveat</x:v>
      </x:c>
      <x:c r="B15" s="52" t="str">
        <x:v>2018 contains January only. Annual trend comparisons should use complete 2015-2017 years.</x:v>
      </x:c>
    </x:row>
    <x:row r="16">
      <x:c r="A16" s="52" t="str">
        <x:v>Privacy</x:v>
      </x:c>
      <x:c r="B16" s="52" t="str">
        <x:v>Names, email, password, street, coordinates, and product-image URLs are excluded from processed/dashboard data.</x:v>
      </x:c>
    </x:row>
    <x:row r="17">
      <x:c r="A17" s="52" t="str">
        <x:v>Refresh</x:v>
      </x:c>
      <x:c r="B17" s="52" t="str">
        <x:v>Run scripts/build_data_assets.py, scripts/run_sql_analysis.py, scripts/derive_insights.py, then scripts/build_excel_dashboard.mjs.</x:v>
      </x:c>
    </x:row>
  </x:sheetData>
  <x:pageMargins left="0.7" right="0.7" top="0.75" bottom="0.75" header="0.3" footer="0.3"/>
  <x:tableParts count="1">
    <x:tablePart xmlns:r="http://schemas.openxmlformats.org/officeDocument/2006/relationships" r:id="R67f1f60b746a4331"/>
  </x:tableParts>
</x:worksheet>
</file>